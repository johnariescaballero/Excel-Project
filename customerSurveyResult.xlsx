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johncaballero\Downloads\"/>
    </mc:Choice>
  </mc:AlternateContent>
  <xr:revisionPtr revIDLastSave="0" documentId="13_ncr:1_{F16B3DEE-2E4A-40EE-AEC8-5A7E7EBF59CB}" xr6:coauthVersionLast="47" xr6:coauthVersionMax="47" xr10:uidLastSave="{00000000-0000-0000-0000-000000000000}"/>
  <bookViews>
    <workbookView xWindow="28680" yWindow="1620" windowWidth="29040" windowHeight="15720" activeTab="4" xr2:uid="{70A7E47D-1E1C-44C5-89A3-27F4D14B60F6}"/>
  </bookViews>
  <sheets>
    <sheet name="Raw Data" sheetId="1" r:id="rId1"/>
    <sheet name="Working Sheet" sheetId="2" r:id="rId2"/>
    <sheet name="Correlation" sheetId="10" r:id="rId3"/>
    <sheet name="Pivot Table" sheetId="7" r:id="rId4"/>
    <sheet name="Dashboard" sheetId="8" r:id="rId5"/>
  </sheets>
  <definedNames>
    <definedName name="_xlnm._FilterDatabase" localSheetId="2" hidden="1">Correlation!$A$1:$D$74</definedName>
    <definedName name="_xlnm._FilterDatabase" localSheetId="0" hidden="1">'Raw Data'!$A$1:$AI$103</definedName>
    <definedName name="_xlnm._FilterDatabase" localSheetId="1" hidden="1">'Working Sheet'!$A$1:$AH$103</definedName>
    <definedName name="NativeTimeline_Response_Date">#N/A</definedName>
    <definedName name="Slicer_Contact_Method">#N/A</definedName>
    <definedName name="Slicer_Location_Name">#N/A</definedName>
    <definedName name="Slicer_Solved_Status">#N/A</definedName>
    <definedName name="Slicer_Survey">#N/A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0" l="1"/>
  <c r="D4" i="10"/>
  <c r="D5" i="10"/>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D64" i="10"/>
  <c r="D65" i="10"/>
  <c r="D66" i="10"/>
  <c r="D67" i="10"/>
  <c r="D68" i="10"/>
  <c r="D69" i="10"/>
  <c r="D70" i="10"/>
  <c r="D71" i="10"/>
  <c r="D72" i="10"/>
  <c r="D73" i="10"/>
  <c r="D74" i="10"/>
  <c r="D2" i="10"/>
  <c r="F2" i="10"/>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AK3" i="2"/>
  <c r="AK2" i="2"/>
  <c r="E3" i="2"/>
  <c r="D3" i="2" s="1"/>
  <c r="E4" i="2"/>
  <c r="D4" i="2" s="1"/>
  <c r="E5" i="2"/>
  <c r="D5" i="2" s="1"/>
  <c r="E6" i="2"/>
  <c r="D6" i="2" s="1"/>
  <c r="E7" i="2"/>
  <c r="D7" i="2" s="1"/>
  <c r="E8" i="2"/>
  <c r="D8" i="2" s="1"/>
  <c r="E9" i="2"/>
  <c r="D9" i="2" s="1"/>
  <c r="E10" i="2"/>
  <c r="D10" i="2" s="1"/>
  <c r="E11" i="2"/>
  <c r="D11" i="2" s="1"/>
  <c r="E12" i="2"/>
  <c r="D12" i="2" s="1"/>
  <c r="E13" i="2"/>
  <c r="D13" i="2" s="1"/>
  <c r="E14" i="2"/>
  <c r="D14" i="2" s="1"/>
  <c r="E15" i="2"/>
  <c r="D15" i="2" s="1"/>
  <c r="E16" i="2"/>
  <c r="D16" i="2" s="1"/>
  <c r="E17" i="2"/>
  <c r="D17" i="2" s="1"/>
  <c r="E18" i="2"/>
  <c r="D18" i="2" s="1"/>
  <c r="E19" i="2"/>
  <c r="D19" i="2" s="1"/>
  <c r="E20" i="2"/>
  <c r="D20" i="2" s="1"/>
  <c r="E21" i="2"/>
  <c r="D21" i="2" s="1"/>
  <c r="E22" i="2"/>
  <c r="D22" i="2" s="1"/>
  <c r="E23" i="2"/>
  <c r="D23" i="2" s="1"/>
  <c r="E24" i="2"/>
  <c r="D24" i="2" s="1"/>
  <c r="E25" i="2"/>
  <c r="D25" i="2" s="1"/>
  <c r="E26" i="2"/>
  <c r="D26" i="2" s="1"/>
  <c r="E27" i="2"/>
  <c r="D27" i="2" s="1"/>
  <c r="E28" i="2"/>
  <c r="D28" i="2" s="1"/>
  <c r="E29" i="2"/>
  <c r="D29" i="2" s="1"/>
  <c r="E30" i="2"/>
  <c r="D30" i="2" s="1"/>
  <c r="E31" i="2"/>
  <c r="D31" i="2" s="1"/>
  <c r="E32" i="2"/>
  <c r="D32" i="2" s="1"/>
  <c r="E33" i="2"/>
  <c r="D33" i="2" s="1"/>
  <c r="E34" i="2"/>
  <c r="D34" i="2" s="1"/>
  <c r="E35" i="2"/>
  <c r="D35" i="2" s="1"/>
  <c r="E36" i="2"/>
  <c r="D36" i="2" s="1"/>
  <c r="E37" i="2"/>
  <c r="D37" i="2" s="1"/>
  <c r="E38" i="2"/>
  <c r="D38" i="2" s="1"/>
  <c r="E39" i="2"/>
  <c r="D39" i="2" s="1"/>
  <c r="E40" i="2"/>
  <c r="D40" i="2" s="1"/>
  <c r="E41" i="2"/>
  <c r="D41" i="2" s="1"/>
  <c r="E42" i="2"/>
  <c r="D42" i="2" s="1"/>
  <c r="E43" i="2"/>
  <c r="D43" i="2" s="1"/>
  <c r="E44" i="2"/>
  <c r="D44" i="2" s="1"/>
  <c r="E45" i="2"/>
  <c r="D45" i="2" s="1"/>
  <c r="E46" i="2"/>
  <c r="D46" i="2" s="1"/>
  <c r="E47" i="2"/>
  <c r="D47" i="2" s="1"/>
  <c r="E48" i="2"/>
  <c r="D48" i="2" s="1"/>
  <c r="E49" i="2"/>
  <c r="D49" i="2" s="1"/>
  <c r="E50" i="2"/>
  <c r="D50" i="2" s="1"/>
  <c r="E51" i="2"/>
  <c r="D51" i="2" s="1"/>
  <c r="E52" i="2"/>
  <c r="D52" i="2" s="1"/>
  <c r="E53" i="2"/>
  <c r="D53" i="2" s="1"/>
  <c r="E54" i="2"/>
  <c r="D54" i="2" s="1"/>
  <c r="E55" i="2"/>
  <c r="D55" i="2" s="1"/>
  <c r="E56" i="2"/>
  <c r="D56" i="2" s="1"/>
  <c r="E57" i="2"/>
  <c r="D57" i="2" s="1"/>
  <c r="E58" i="2"/>
  <c r="D58" i="2" s="1"/>
  <c r="E59" i="2"/>
  <c r="D59" i="2" s="1"/>
  <c r="E60" i="2"/>
  <c r="D60" i="2" s="1"/>
  <c r="E61" i="2"/>
  <c r="D61" i="2" s="1"/>
  <c r="E62" i="2"/>
  <c r="D62" i="2" s="1"/>
  <c r="E63" i="2"/>
  <c r="D63" i="2" s="1"/>
  <c r="E64" i="2"/>
  <c r="D64" i="2" s="1"/>
  <c r="E65" i="2"/>
  <c r="D65" i="2" s="1"/>
  <c r="E66" i="2"/>
  <c r="D66" i="2" s="1"/>
  <c r="E67" i="2"/>
  <c r="D67" i="2" s="1"/>
  <c r="E68" i="2"/>
  <c r="D68" i="2" s="1"/>
  <c r="E69" i="2"/>
  <c r="D69" i="2" s="1"/>
  <c r="E70" i="2"/>
  <c r="D70" i="2" s="1"/>
  <c r="E71" i="2"/>
  <c r="D71" i="2" s="1"/>
  <c r="E72" i="2"/>
  <c r="D72" i="2" s="1"/>
  <c r="E73" i="2"/>
  <c r="D73" i="2" s="1"/>
  <c r="E74" i="2"/>
  <c r="D74" i="2" s="1"/>
  <c r="E75" i="2"/>
  <c r="D75" i="2" s="1"/>
  <c r="E76" i="2"/>
  <c r="D76" i="2" s="1"/>
  <c r="E77" i="2"/>
  <c r="D77" i="2" s="1"/>
  <c r="E78" i="2"/>
  <c r="D78" i="2" s="1"/>
  <c r="E79" i="2"/>
  <c r="D79" i="2" s="1"/>
  <c r="E80" i="2"/>
  <c r="D80" i="2" s="1"/>
  <c r="E81" i="2"/>
  <c r="D81" i="2" s="1"/>
  <c r="E82" i="2"/>
  <c r="D82" i="2" s="1"/>
  <c r="E83" i="2"/>
  <c r="D83" i="2" s="1"/>
  <c r="E84" i="2"/>
  <c r="D84" i="2" s="1"/>
  <c r="E85" i="2"/>
  <c r="D85" i="2" s="1"/>
  <c r="E86" i="2"/>
  <c r="D86" i="2" s="1"/>
  <c r="E87" i="2"/>
  <c r="D87" i="2" s="1"/>
  <c r="E88" i="2"/>
  <c r="D88" i="2" s="1"/>
  <c r="E89" i="2"/>
  <c r="D89" i="2" s="1"/>
  <c r="E90" i="2"/>
  <c r="D90" i="2" s="1"/>
  <c r="E91" i="2"/>
  <c r="D91" i="2" s="1"/>
  <c r="E92" i="2"/>
  <c r="D92" i="2" s="1"/>
  <c r="E93" i="2"/>
  <c r="D93" i="2" s="1"/>
  <c r="E94" i="2"/>
  <c r="D94" i="2" s="1"/>
  <c r="E95" i="2"/>
  <c r="D95" i="2" s="1"/>
  <c r="E96" i="2"/>
  <c r="D96" i="2" s="1"/>
  <c r="E97" i="2"/>
  <c r="D97" i="2" s="1"/>
  <c r="E98" i="2"/>
  <c r="D98" i="2" s="1"/>
  <c r="E99" i="2"/>
  <c r="D99" i="2" s="1"/>
  <c r="E100" i="2"/>
  <c r="D100" i="2" s="1"/>
  <c r="E101" i="2"/>
  <c r="D101" i="2" s="1"/>
  <c r="E102" i="2"/>
  <c r="D102" i="2" s="1"/>
  <c r="E103" i="2"/>
  <c r="D103" i="2" s="1"/>
  <c r="E2" i="2"/>
  <c r="D2" i="2" s="1"/>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2" i="2"/>
  <c r="AK4" i="2" l="1"/>
  <c r="O2" i="2" l="1"/>
  <c r="O14" i="2"/>
  <c r="O26" i="2"/>
  <c r="O38" i="2"/>
  <c r="O50" i="2"/>
  <c r="O62" i="2"/>
  <c r="O74" i="2"/>
  <c r="O86" i="2"/>
  <c r="O98" i="2"/>
  <c r="O3" i="2"/>
  <c r="O15" i="2"/>
  <c r="O27" i="2"/>
  <c r="O39" i="2"/>
  <c r="O51" i="2"/>
  <c r="O63" i="2"/>
  <c r="O75" i="2"/>
  <c r="O87" i="2"/>
  <c r="O99" i="2"/>
  <c r="O13" i="2"/>
  <c r="O4" i="2"/>
  <c r="O16" i="2"/>
  <c r="O28" i="2"/>
  <c r="O40" i="2"/>
  <c r="O52" i="2"/>
  <c r="O64" i="2"/>
  <c r="O76" i="2"/>
  <c r="O88" i="2"/>
  <c r="O100" i="2"/>
  <c r="O61" i="2"/>
  <c r="O5" i="2"/>
  <c r="O17" i="2"/>
  <c r="O29" i="2"/>
  <c r="O41" i="2"/>
  <c r="O53" i="2"/>
  <c r="O65" i="2"/>
  <c r="O77" i="2"/>
  <c r="O89" i="2"/>
  <c r="O101" i="2"/>
  <c r="O37" i="2"/>
  <c r="O6" i="2"/>
  <c r="O18" i="2"/>
  <c r="O30" i="2"/>
  <c r="O42" i="2"/>
  <c r="O54" i="2"/>
  <c r="O66" i="2"/>
  <c r="O78" i="2"/>
  <c r="O90" i="2"/>
  <c r="O102" i="2"/>
  <c r="O25" i="2"/>
  <c r="O7" i="2"/>
  <c r="O19" i="2"/>
  <c r="O31" i="2"/>
  <c r="O43" i="2"/>
  <c r="O55" i="2"/>
  <c r="O67" i="2"/>
  <c r="O79" i="2"/>
  <c r="O91" i="2"/>
  <c r="O103" i="2"/>
  <c r="O73" i="2"/>
  <c r="O8" i="2"/>
  <c r="O20" i="2"/>
  <c r="O32" i="2"/>
  <c r="O44" i="2"/>
  <c r="O56" i="2"/>
  <c r="O68" i="2"/>
  <c r="O80" i="2"/>
  <c r="O92" i="2"/>
  <c r="O97" i="2"/>
  <c r="O9" i="2"/>
  <c r="O21" i="2"/>
  <c r="O33" i="2"/>
  <c r="O45" i="2"/>
  <c r="O57" i="2"/>
  <c r="O69" i="2"/>
  <c r="O81" i="2"/>
  <c r="O93" i="2"/>
  <c r="O49" i="2"/>
  <c r="O10" i="2"/>
  <c r="O22" i="2"/>
  <c r="O34" i="2"/>
  <c r="O46" i="2"/>
  <c r="O58" i="2"/>
  <c r="O70" i="2"/>
  <c r="O82" i="2"/>
  <c r="O94" i="2"/>
  <c r="O11" i="2"/>
  <c r="O23" i="2"/>
  <c r="O35" i="2"/>
  <c r="O47" i="2"/>
  <c r="O59" i="2"/>
  <c r="O71" i="2"/>
  <c r="O83" i="2"/>
  <c r="O95" i="2"/>
  <c r="O85" i="2"/>
  <c r="O12" i="2"/>
  <c r="O24" i="2"/>
  <c r="O36" i="2"/>
  <c r="O48" i="2"/>
  <c r="O60" i="2"/>
  <c r="O72" i="2"/>
  <c r="O84" i="2"/>
  <c r="O96" i="2"/>
</calcChain>
</file>

<file path=xl/sharedStrings.xml><?xml version="1.0" encoding="utf-8"?>
<sst xmlns="http://schemas.openxmlformats.org/spreadsheetml/2006/main" count="2899" uniqueCount="228">
  <si>
    <t>Creation Date</t>
  </si>
  <si>
    <t>Response Date</t>
  </si>
  <si>
    <t>Likelihood to Recommend</t>
  </si>
  <si>
    <t>Ticket Solved Date</t>
  </si>
  <si>
    <t>Email</t>
  </si>
  <si>
    <t>Language</t>
  </si>
  <si>
    <t>Brand</t>
  </si>
  <si>
    <t>Product (Oculus)</t>
  </si>
  <si>
    <t>Contact Method</t>
  </si>
  <si>
    <t>Agent Resolution Reason 1</t>
  </si>
  <si>
    <t>FCR</t>
  </si>
  <si>
    <t>Ticket Handling Time</t>
  </si>
  <si>
    <t>Full Resolution Time</t>
  </si>
  <si>
    <t>Satisfaction with the overall support experience (CSAT)</t>
  </si>
  <si>
    <t>Overall Satisfaction with Agent (ASAT)</t>
  </si>
  <si>
    <t>Professionalism</t>
  </si>
  <si>
    <t>Knowledge</t>
  </si>
  <si>
    <t>Communicating Clearly</t>
  </si>
  <si>
    <t>Understanding Needs</t>
  </si>
  <si>
    <t>Helpfulness</t>
  </si>
  <si>
    <t>Customer Effort Score (CES - Post Support)</t>
  </si>
  <si>
    <t>Satisfaction with Resolution Time</t>
  </si>
  <si>
    <t>Inquiry Resolved</t>
  </si>
  <si>
    <t>Permission to Contact?</t>
  </si>
  <si>
    <t>Alert type</t>
  </si>
  <si>
    <t>Current status of alert</t>
  </si>
  <si>
    <t>Alert closed by</t>
  </si>
  <si>
    <t>Agent Alias</t>
  </si>
  <si>
    <t>Agent Start Date</t>
  </si>
  <si>
    <t>Agent Type</t>
  </si>
  <si>
    <t>Solved Status</t>
  </si>
  <si>
    <t>Facebook Survey Type</t>
  </si>
  <si>
    <t>Conversational transcript comment</t>
  </si>
  <si>
    <t>Resolution Tag</t>
  </si>
  <si>
    <t>English</t>
  </si>
  <si>
    <t>Meta Quest</t>
  </si>
  <si>
    <t>Salesforce</t>
  </si>
  <si>
    <t>Hardware Order</t>
  </si>
  <si>
    <t>No</t>
  </si>
  <si>
    <t>N/A</t>
  </si>
  <si>
    <t>Yes - Outcome Not Satisfied</t>
  </si>
  <si>
    <t>Jathniel</t>
  </si>
  <si>
    <t>2020-10-05 00:00:00</t>
  </si>
  <si>
    <t>T2</t>
  </si>
  <si>
    <t>Solved by Agent</t>
  </si>
  <si>
    <t>Assisted Support</t>
  </si>
  <si>
    <t>Escalated</t>
  </si>
  <si>
    <t>Rayban</t>
  </si>
  <si>
    <t>Chat</t>
  </si>
  <si>
    <t>Yes - Outcome Satisfied</t>
  </si>
  <si>
    <t>Rawan</t>
  </si>
  <si>
    <t>2024-11-18 00:00:00</t>
  </si>
  <si>
    <t>T1</t>
  </si>
  <si>
    <t>Created RMA</t>
  </si>
  <si>
    <t>Japanese</t>
  </si>
  <si>
    <t>Tracking and Input</t>
  </si>
  <si>
    <t>水谷</t>
  </si>
  <si>
    <t>2020-11-02 00:00:00</t>
  </si>
  <si>
    <t>English (United Kingdom)</t>
  </si>
  <si>
    <t>Jc</t>
  </si>
  <si>
    <t>2024-09-29 00:00:00</t>
  </si>
  <si>
    <t>Offered Credit</t>
  </si>
  <si>
    <t>Yes</t>
  </si>
  <si>
    <t>Rhea</t>
  </si>
  <si>
    <t>2024-04-17 00:00:00</t>
  </si>
  <si>
    <t>Offered Refund</t>
  </si>
  <si>
    <t>Meta Account</t>
  </si>
  <si>
    <t>Kyle</t>
  </si>
  <si>
    <t>2024-09-01 00:00:00</t>
  </si>
  <si>
    <t>Digital Order</t>
  </si>
  <si>
    <t>Deniel</t>
  </si>
  <si>
    <t>Display/Visual Issues</t>
  </si>
  <si>
    <t>2025-06-10 00:00:00</t>
  </si>
  <si>
    <t>Answered Question</t>
  </si>
  <si>
    <t>Neriza</t>
  </si>
  <si>
    <t>2023-08-16 00:00:00</t>
  </si>
  <si>
    <t>Meta Portal</t>
  </si>
  <si>
    <t>Device Usage</t>
  </si>
  <si>
    <t>Parent-Managed Account</t>
  </si>
  <si>
    <t>Raymond</t>
  </si>
  <si>
    <t>2024-08-07 00:00:00</t>
  </si>
  <si>
    <t>Ysa</t>
  </si>
  <si>
    <t>Binadi43</t>
  </si>
  <si>
    <t>2024-09-13 00:00:00</t>
  </si>
  <si>
    <t>Leun</t>
  </si>
  <si>
    <t>Solved by Pending</t>
  </si>
  <si>
    <t>Unresponsive</t>
  </si>
  <si>
    <t>Jenny</t>
  </si>
  <si>
    <t>2024-09-10 00:00:00</t>
  </si>
  <si>
    <t>Simon</t>
  </si>
  <si>
    <t>2023-07-31 00:00:00</t>
  </si>
  <si>
    <t>Kash</t>
  </si>
  <si>
    <t>2024-10-14 00:00:00</t>
  </si>
  <si>
    <t>Mirul</t>
  </si>
  <si>
    <t>2021-08-02 00:00:00</t>
  </si>
  <si>
    <t>WhatsApp</t>
  </si>
  <si>
    <t>Suha</t>
  </si>
  <si>
    <t>2025-06-02 00:00:00</t>
  </si>
  <si>
    <t>Jamaica</t>
  </si>
  <si>
    <t>2024-09-24 00:00:00</t>
  </si>
  <si>
    <t>No - Inquiry Unresolved</t>
  </si>
  <si>
    <t>水守</t>
  </si>
  <si>
    <t>2023-05-23 00:00:00</t>
  </si>
  <si>
    <t>Jaye</t>
  </si>
  <si>
    <t>2025-08-14 00:00:00</t>
  </si>
  <si>
    <t>Rachel</t>
  </si>
  <si>
    <t>2024-09-04 00:00:00</t>
  </si>
  <si>
    <t>Devin</t>
  </si>
  <si>
    <t>Flores</t>
  </si>
  <si>
    <t>2023-11-20 00:00:00</t>
  </si>
  <si>
    <t>Experience Usage</t>
  </si>
  <si>
    <t>Nerilyn</t>
  </si>
  <si>
    <t>2024-12-04 00:00:00</t>
  </si>
  <si>
    <t>James</t>
  </si>
  <si>
    <t>2024-11-15 00:00:00</t>
  </si>
  <si>
    <t>No Solution Available</t>
  </si>
  <si>
    <t>Michael</t>
  </si>
  <si>
    <t>2024-11-01 00:00:00</t>
  </si>
  <si>
    <t>Marc</t>
  </si>
  <si>
    <t>Questions</t>
  </si>
  <si>
    <t>Power Issues</t>
  </si>
  <si>
    <t>Mark</t>
  </si>
  <si>
    <t>2022-10-26 00:00:00</t>
  </si>
  <si>
    <t>武藤</t>
  </si>
  <si>
    <t>2025-07-04 00:00:00</t>
  </si>
  <si>
    <t>Drew</t>
  </si>
  <si>
    <t>Troubleshooting Successful</t>
  </si>
  <si>
    <t>Niky</t>
  </si>
  <si>
    <t>German</t>
  </si>
  <si>
    <t>Joyce</t>
  </si>
  <si>
    <t>2023-06-13 00:00:00</t>
  </si>
  <si>
    <t>Chinese (Taiwan)</t>
  </si>
  <si>
    <t>Dickson</t>
  </si>
  <si>
    <t>2023-10-27 00:00:00</t>
  </si>
  <si>
    <t>Hari</t>
  </si>
  <si>
    <t>2023-08-11 00:00:00</t>
  </si>
  <si>
    <t>Supervisor</t>
  </si>
  <si>
    <t>OOW RMA</t>
  </si>
  <si>
    <t>Rob</t>
  </si>
  <si>
    <t>2024-11-29 00:00:00</t>
  </si>
  <si>
    <t>Hasegawa</t>
  </si>
  <si>
    <t>Clove</t>
  </si>
  <si>
    <t>2025-08-18 00:00:00</t>
  </si>
  <si>
    <t>Faith</t>
  </si>
  <si>
    <t>2024-04-12 00:00:00</t>
  </si>
  <si>
    <t>トミー</t>
  </si>
  <si>
    <t>Jen</t>
  </si>
  <si>
    <t>2023-08-21 00:00:00</t>
  </si>
  <si>
    <t>Kikuchi</t>
  </si>
  <si>
    <t>2025-04-13 00:00:00</t>
  </si>
  <si>
    <t>Mary</t>
  </si>
  <si>
    <t>Hope</t>
  </si>
  <si>
    <t>Laurence</t>
  </si>
  <si>
    <t>Olivia</t>
  </si>
  <si>
    <t>2024-05-16 00:00:00</t>
  </si>
  <si>
    <t>Ru</t>
  </si>
  <si>
    <t>2024-08-30 00:00:00</t>
  </si>
  <si>
    <t>Kamimura</t>
  </si>
  <si>
    <t>加藤</t>
  </si>
  <si>
    <t>Devontee</t>
  </si>
  <si>
    <t>Korean</t>
  </si>
  <si>
    <t>Steffi</t>
  </si>
  <si>
    <t>Madeline</t>
  </si>
  <si>
    <t>2022-10-19 00:00:00</t>
  </si>
  <si>
    <t>Milan</t>
  </si>
  <si>
    <t>Jeekyl</t>
  </si>
  <si>
    <t>2024-05-23 00:00:00</t>
  </si>
  <si>
    <t>Cris</t>
  </si>
  <si>
    <t>Changed Account Info</t>
  </si>
  <si>
    <t>Rey</t>
  </si>
  <si>
    <t>2024-10-15 00:00:00</t>
  </si>
  <si>
    <t>Henry</t>
  </si>
  <si>
    <t>Alyanna</t>
  </si>
  <si>
    <t>Levi</t>
  </si>
  <si>
    <t>2024-04-08 00:00:00</t>
  </si>
  <si>
    <t>Light</t>
  </si>
  <si>
    <t>2021-10-25 00:00:00</t>
  </si>
  <si>
    <t>Cia</t>
  </si>
  <si>
    <t>2024-10-07 00:00:00</t>
  </si>
  <si>
    <t>Greyz</t>
  </si>
  <si>
    <t>2024-09-09 00:00:00</t>
  </si>
  <si>
    <t>Cara</t>
  </si>
  <si>
    <t>2023-12-20 00:00:00</t>
  </si>
  <si>
    <t>Sette</t>
  </si>
  <si>
    <t>Sarah</t>
  </si>
  <si>
    <t>Mar</t>
  </si>
  <si>
    <t>2023-09-26 00:00:00</t>
  </si>
  <si>
    <t>Aiden</t>
  </si>
  <si>
    <t>Precious</t>
  </si>
  <si>
    <t>Paulina</t>
  </si>
  <si>
    <t>Yvette</t>
  </si>
  <si>
    <t>2022-09-21 00:00:00</t>
  </si>
  <si>
    <t>川崎</t>
  </si>
  <si>
    <t>Hanz</t>
  </si>
  <si>
    <t>Bree</t>
  </si>
  <si>
    <t>Brian</t>
  </si>
  <si>
    <t>Experience Management</t>
  </si>
  <si>
    <t>Amanda</t>
  </si>
  <si>
    <t>John</t>
  </si>
  <si>
    <t>Katy</t>
  </si>
  <si>
    <t>JR</t>
  </si>
  <si>
    <t>Sherlyn</t>
  </si>
  <si>
    <t>Audio Issues</t>
  </si>
  <si>
    <t>Ree</t>
  </si>
  <si>
    <t>2024-03-31 00:00:00</t>
  </si>
  <si>
    <t>Case ID</t>
  </si>
  <si>
    <t xml:space="preserve">Clean Agent Start Date </t>
  </si>
  <si>
    <t>Net Promoter Score</t>
  </si>
  <si>
    <t>Grand Total</t>
  </si>
  <si>
    <t>Survey</t>
  </si>
  <si>
    <t>Average of Net Promoter Score</t>
  </si>
  <si>
    <t>Average of Full Resolution Time</t>
  </si>
  <si>
    <t>Count of Case ID</t>
  </si>
  <si>
    <t>STD</t>
  </si>
  <si>
    <t>Mean</t>
  </si>
  <si>
    <t>Upper Bound</t>
  </si>
  <si>
    <t>Lower Bound</t>
  </si>
  <si>
    <t xml:space="preserve">FRT Is Outlier? </t>
  </si>
  <si>
    <t xml:space="preserve">Location Name </t>
  </si>
  <si>
    <t>Site 2</t>
  </si>
  <si>
    <t>Site 1</t>
  </si>
  <si>
    <t>Site 1 Total</t>
  </si>
  <si>
    <t>Site 2 Total</t>
  </si>
  <si>
    <t>Survey Count</t>
  </si>
  <si>
    <t>FRT</t>
  </si>
  <si>
    <t>Average NPS</t>
  </si>
  <si>
    <t>Normal</t>
  </si>
  <si>
    <t>Standardize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</si>
</sst>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m\-yyyy"/>
  </numFmts>
  <fonts count="4" x14ac:knownFonts="1">
    <font>
      <sz val="11"/>
      <color theme="1"/>
      <name val="Aptos Narrow"/>
      <family val="2"/>
      <scheme val="minor"/>
    </font>
    <font>
      <b/>
      <sz val="11"/>
      <name val="Calibri"/>
    </font>
    <font>
      <b/>
      <sz val="11"/>
      <name val="Calibri"/>
      <family val="2"/>
    </font>
    <font>
      <b/>
      <i/>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22" fontId="0" fillId="0" borderId="0" xfId="0" applyNumberFormat="1"/>
    <xf numFmtId="164" fontId="0" fillId="0" borderId="0" xfId="0" applyNumberFormat="1"/>
    <xf numFmtId="14" fontId="0" fillId="0" borderId="0" xfId="0" applyNumberFormat="1"/>
    <xf numFmtId="0" fontId="2" fillId="0" borderId="0" xfId="0" applyFont="1"/>
    <xf numFmtId="2" fontId="0" fillId="0" borderId="0" xfId="0" applyNumberFormat="1"/>
    <xf numFmtId="1" fontId="0" fillId="0" borderId="0" xfId="0" applyNumberFormat="1"/>
    <xf numFmtId="0" fontId="0" fillId="0" borderId="0" xfId="0" pivotButton="1"/>
    <xf numFmtId="3" fontId="0" fillId="0" borderId="0" xfId="0" applyNumberFormat="1"/>
    <xf numFmtId="0" fontId="3" fillId="0" borderId="0" xfId="0" applyFont="1"/>
  </cellXfs>
  <cellStyles count="1">
    <cellStyle name="Normal" xfId="0" builtinId="0"/>
  </cellStyles>
  <dxfs count="13">
    <dxf>
      <numFmt numFmtId="0" formatCode="General"/>
    </dxf>
    <dxf>
      <numFmt numFmtId="164" formatCode="dd\-mmm\-yyyy"/>
    </dxf>
    <dxf>
      <numFmt numFmtId="1" formatCode="0"/>
    </dxf>
    <dxf>
      <numFmt numFmtId="1" formatCode="0"/>
    </dxf>
    <dxf>
      <numFmt numFmtId="1" formatCode="0"/>
    </dxf>
    <dxf>
      <numFmt numFmtId="164" formatCode="dd\-mmm\-yyyy"/>
    </dxf>
    <dxf>
      <numFmt numFmtId="1" formatCode="0"/>
    </dxf>
    <dxf>
      <numFmt numFmtId="164" formatCode="dd\-mmm\-yyyy"/>
    </dxf>
    <dxf>
      <numFmt numFmtId="164" formatCode="dd\-mmm\-yyyy"/>
    </dxf>
    <dxf>
      <numFmt numFmtId="164" formatCode="dd\-mmm\-yyyy"/>
    </dxf>
    <dxf>
      <font>
        <b/>
        <i val="0"/>
        <strike val="0"/>
        <condense val="0"/>
        <extend val="0"/>
        <outline val="0"/>
        <shadow val="0"/>
        <u val="none"/>
        <vertAlign val="baseline"/>
        <sz val="11"/>
        <color auto="1"/>
        <name val="Calibri"/>
        <scheme val="none"/>
      </font>
    </dxf>
    <dxf>
      <font>
        <b/>
        <sz val="11"/>
        <color theme="1"/>
      </font>
      <border>
        <vertical/>
        <horizontal/>
      </border>
    </dxf>
    <dxf>
      <font>
        <color theme="1"/>
      </font>
      <border diagonalUp="0" diagonalDown="0">
        <left/>
        <right/>
        <top/>
        <bottom/>
        <vertical/>
        <horizontal/>
      </border>
    </dxf>
  </dxfs>
  <tableStyles count="1" defaultTableStyle="TableStyleMedium2" defaultPivotStyle="PivotStyleLight16">
    <tableStyle name="NPS" pivot="0" table="0" count="9" xr9:uid="{44E622E1-5C5F-4F10-8450-24F961DB39DF}">
      <tableStyleElement type="wholeTable" dxfId="12"/>
      <tableStyleElement type="headerRow" dxfId="11"/>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NPS">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Correlation!$B$1</c:f>
              <c:strCache>
                <c:ptCount val="1"/>
                <c:pt idx="0">
                  <c:v>Full Resolution Time</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3.5567200172352685E-3"/>
                  <c:y val="-9.573782347186293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Correlation!$A$2:$A$103</c:f>
              <c:numCache>
                <c:formatCode>General</c:formatCode>
                <c:ptCount val="102"/>
                <c:pt idx="0">
                  <c:v>2</c:v>
                </c:pt>
                <c:pt idx="1">
                  <c:v>10</c:v>
                </c:pt>
                <c:pt idx="2">
                  <c:v>10</c:v>
                </c:pt>
                <c:pt idx="3">
                  <c:v>10</c:v>
                </c:pt>
                <c:pt idx="4">
                  <c:v>9</c:v>
                </c:pt>
                <c:pt idx="5">
                  <c:v>10</c:v>
                </c:pt>
                <c:pt idx="6">
                  <c:v>10</c:v>
                </c:pt>
                <c:pt idx="7">
                  <c:v>10</c:v>
                </c:pt>
                <c:pt idx="8">
                  <c:v>6</c:v>
                </c:pt>
                <c:pt idx="9">
                  <c:v>10</c:v>
                </c:pt>
                <c:pt idx="10">
                  <c:v>10</c:v>
                </c:pt>
                <c:pt idx="11">
                  <c:v>10</c:v>
                </c:pt>
                <c:pt idx="12">
                  <c:v>5</c:v>
                </c:pt>
                <c:pt idx="13">
                  <c:v>9</c:v>
                </c:pt>
                <c:pt idx="14">
                  <c:v>10</c:v>
                </c:pt>
                <c:pt idx="15">
                  <c:v>10</c:v>
                </c:pt>
                <c:pt idx="16">
                  <c:v>0</c:v>
                </c:pt>
                <c:pt idx="17">
                  <c:v>10</c:v>
                </c:pt>
                <c:pt idx="18">
                  <c:v>5</c:v>
                </c:pt>
                <c:pt idx="19">
                  <c:v>10</c:v>
                </c:pt>
                <c:pt idx="20">
                  <c:v>8</c:v>
                </c:pt>
                <c:pt idx="21">
                  <c:v>0</c:v>
                </c:pt>
                <c:pt idx="22">
                  <c:v>8</c:v>
                </c:pt>
                <c:pt idx="23">
                  <c:v>10</c:v>
                </c:pt>
                <c:pt idx="24">
                  <c:v>0</c:v>
                </c:pt>
                <c:pt idx="25">
                  <c:v>10</c:v>
                </c:pt>
                <c:pt idx="26">
                  <c:v>10</c:v>
                </c:pt>
                <c:pt idx="27">
                  <c:v>10</c:v>
                </c:pt>
                <c:pt idx="28">
                  <c:v>7</c:v>
                </c:pt>
                <c:pt idx="29">
                  <c:v>5</c:v>
                </c:pt>
                <c:pt idx="30">
                  <c:v>10</c:v>
                </c:pt>
                <c:pt idx="31">
                  <c:v>10</c:v>
                </c:pt>
                <c:pt idx="32">
                  <c:v>6</c:v>
                </c:pt>
                <c:pt idx="33">
                  <c:v>10</c:v>
                </c:pt>
                <c:pt idx="34">
                  <c:v>9</c:v>
                </c:pt>
                <c:pt idx="35">
                  <c:v>7</c:v>
                </c:pt>
                <c:pt idx="36">
                  <c:v>10</c:v>
                </c:pt>
                <c:pt idx="37">
                  <c:v>0</c:v>
                </c:pt>
                <c:pt idx="38">
                  <c:v>10</c:v>
                </c:pt>
                <c:pt idx="39">
                  <c:v>3</c:v>
                </c:pt>
                <c:pt idx="40">
                  <c:v>0</c:v>
                </c:pt>
                <c:pt idx="41">
                  <c:v>10</c:v>
                </c:pt>
                <c:pt idx="42">
                  <c:v>0</c:v>
                </c:pt>
                <c:pt idx="43">
                  <c:v>10</c:v>
                </c:pt>
                <c:pt idx="44">
                  <c:v>0</c:v>
                </c:pt>
                <c:pt idx="45">
                  <c:v>8</c:v>
                </c:pt>
                <c:pt idx="46">
                  <c:v>0</c:v>
                </c:pt>
                <c:pt idx="47">
                  <c:v>10</c:v>
                </c:pt>
                <c:pt idx="48">
                  <c:v>10</c:v>
                </c:pt>
                <c:pt idx="49">
                  <c:v>10</c:v>
                </c:pt>
                <c:pt idx="50">
                  <c:v>3</c:v>
                </c:pt>
                <c:pt idx="51">
                  <c:v>10</c:v>
                </c:pt>
                <c:pt idx="52">
                  <c:v>0</c:v>
                </c:pt>
                <c:pt idx="53">
                  <c:v>1</c:v>
                </c:pt>
                <c:pt idx="54">
                  <c:v>10</c:v>
                </c:pt>
                <c:pt idx="55">
                  <c:v>3</c:v>
                </c:pt>
                <c:pt idx="56">
                  <c:v>10</c:v>
                </c:pt>
                <c:pt idx="57">
                  <c:v>10</c:v>
                </c:pt>
                <c:pt idx="58">
                  <c:v>9</c:v>
                </c:pt>
                <c:pt idx="59">
                  <c:v>8</c:v>
                </c:pt>
                <c:pt idx="60">
                  <c:v>10</c:v>
                </c:pt>
                <c:pt idx="61">
                  <c:v>10</c:v>
                </c:pt>
                <c:pt idx="62">
                  <c:v>10</c:v>
                </c:pt>
                <c:pt idx="63">
                  <c:v>9</c:v>
                </c:pt>
                <c:pt idx="64">
                  <c:v>1</c:v>
                </c:pt>
                <c:pt idx="65">
                  <c:v>9</c:v>
                </c:pt>
                <c:pt idx="66">
                  <c:v>9</c:v>
                </c:pt>
                <c:pt idx="67">
                  <c:v>9</c:v>
                </c:pt>
                <c:pt idx="68">
                  <c:v>0</c:v>
                </c:pt>
                <c:pt idx="69">
                  <c:v>8</c:v>
                </c:pt>
                <c:pt idx="70">
                  <c:v>10</c:v>
                </c:pt>
                <c:pt idx="71">
                  <c:v>0</c:v>
                </c:pt>
                <c:pt idx="72">
                  <c:v>8</c:v>
                </c:pt>
              </c:numCache>
            </c:numRef>
          </c:xVal>
          <c:yVal>
            <c:numRef>
              <c:f>Correlation!$B$2:$B$103</c:f>
              <c:numCache>
                <c:formatCode>General</c:formatCode>
                <c:ptCount val="102"/>
                <c:pt idx="0">
                  <c:v>12935</c:v>
                </c:pt>
                <c:pt idx="1">
                  <c:v>12042</c:v>
                </c:pt>
                <c:pt idx="2">
                  <c:v>1896</c:v>
                </c:pt>
                <c:pt idx="3">
                  <c:v>736</c:v>
                </c:pt>
                <c:pt idx="4">
                  <c:v>7112</c:v>
                </c:pt>
                <c:pt idx="5">
                  <c:v>9970</c:v>
                </c:pt>
                <c:pt idx="6">
                  <c:v>23336</c:v>
                </c:pt>
                <c:pt idx="7">
                  <c:v>1490</c:v>
                </c:pt>
                <c:pt idx="8">
                  <c:v>7359</c:v>
                </c:pt>
                <c:pt idx="9">
                  <c:v>24271</c:v>
                </c:pt>
                <c:pt idx="10">
                  <c:v>7784</c:v>
                </c:pt>
                <c:pt idx="11">
                  <c:v>24625</c:v>
                </c:pt>
                <c:pt idx="12">
                  <c:v>77</c:v>
                </c:pt>
                <c:pt idx="13">
                  <c:v>95</c:v>
                </c:pt>
                <c:pt idx="14">
                  <c:v>182</c:v>
                </c:pt>
                <c:pt idx="15">
                  <c:v>1005</c:v>
                </c:pt>
                <c:pt idx="16">
                  <c:v>9006</c:v>
                </c:pt>
                <c:pt idx="17">
                  <c:v>13271</c:v>
                </c:pt>
                <c:pt idx="18">
                  <c:v>17793</c:v>
                </c:pt>
                <c:pt idx="19">
                  <c:v>5312</c:v>
                </c:pt>
                <c:pt idx="20">
                  <c:v>155</c:v>
                </c:pt>
                <c:pt idx="21">
                  <c:v>292</c:v>
                </c:pt>
                <c:pt idx="22">
                  <c:v>8172</c:v>
                </c:pt>
                <c:pt idx="23">
                  <c:v>87</c:v>
                </c:pt>
                <c:pt idx="24">
                  <c:v>2791</c:v>
                </c:pt>
                <c:pt idx="25">
                  <c:v>84</c:v>
                </c:pt>
                <c:pt idx="26">
                  <c:v>10120</c:v>
                </c:pt>
                <c:pt idx="27">
                  <c:v>8778</c:v>
                </c:pt>
                <c:pt idx="28">
                  <c:v>109</c:v>
                </c:pt>
                <c:pt idx="29">
                  <c:v>13309</c:v>
                </c:pt>
                <c:pt idx="30">
                  <c:v>7495</c:v>
                </c:pt>
                <c:pt idx="31">
                  <c:v>581</c:v>
                </c:pt>
                <c:pt idx="32">
                  <c:v>27576</c:v>
                </c:pt>
                <c:pt idx="33">
                  <c:v>1861</c:v>
                </c:pt>
                <c:pt idx="34">
                  <c:v>3091</c:v>
                </c:pt>
                <c:pt idx="35">
                  <c:v>95</c:v>
                </c:pt>
                <c:pt idx="36">
                  <c:v>121</c:v>
                </c:pt>
                <c:pt idx="37">
                  <c:v>573</c:v>
                </c:pt>
                <c:pt idx="38">
                  <c:v>19160</c:v>
                </c:pt>
                <c:pt idx="39">
                  <c:v>9473</c:v>
                </c:pt>
                <c:pt idx="40">
                  <c:v>13275</c:v>
                </c:pt>
                <c:pt idx="41">
                  <c:v>8654</c:v>
                </c:pt>
                <c:pt idx="42">
                  <c:v>1183</c:v>
                </c:pt>
                <c:pt idx="43">
                  <c:v>333</c:v>
                </c:pt>
                <c:pt idx="44">
                  <c:v>13109</c:v>
                </c:pt>
                <c:pt idx="45">
                  <c:v>93</c:v>
                </c:pt>
                <c:pt idx="46">
                  <c:v>13110</c:v>
                </c:pt>
                <c:pt idx="47">
                  <c:v>1676</c:v>
                </c:pt>
                <c:pt idx="48">
                  <c:v>2264</c:v>
                </c:pt>
                <c:pt idx="49">
                  <c:v>15541</c:v>
                </c:pt>
                <c:pt idx="50">
                  <c:v>17886</c:v>
                </c:pt>
                <c:pt idx="51">
                  <c:v>75</c:v>
                </c:pt>
                <c:pt idx="52">
                  <c:v>14108</c:v>
                </c:pt>
                <c:pt idx="53">
                  <c:v>14743</c:v>
                </c:pt>
                <c:pt idx="54">
                  <c:v>75</c:v>
                </c:pt>
                <c:pt idx="55">
                  <c:v>13804</c:v>
                </c:pt>
                <c:pt idx="56">
                  <c:v>1419</c:v>
                </c:pt>
                <c:pt idx="57">
                  <c:v>6434</c:v>
                </c:pt>
                <c:pt idx="58">
                  <c:v>28756</c:v>
                </c:pt>
                <c:pt idx="59">
                  <c:v>13416</c:v>
                </c:pt>
                <c:pt idx="60">
                  <c:v>19597</c:v>
                </c:pt>
                <c:pt idx="61">
                  <c:v>1455</c:v>
                </c:pt>
                <c:pt idx="62">
                  <c:v>359</c:v>
                </c:pt>
                <c:pt idx="63">
                  <c:v>910</c:v>
                </c:pt>
                <c:pt idx="64">
                  <c:v>1190</c:v>
                </c:pt>
                <c:pt idx="65">
                  <c:v>6172</c:v>
                </c:pt>
                <c:pt idx="66">
                  <c:v>15022</c:v>
                </c:pt>
                <c:pt idx="67">
                  <c:v>126</c:v>
                </c:pt>
                <c:pt idx="68">
                  <c:v>20321</c:v>
                </c:pt>
                <c:pt idx="69">
                  <c:v>4382</c:v>
                </c:pt>
                <c:pt idx="70">
                  <c:v>8697</c:v>
                </c:pt>
                <c:pt idx="71">
                  <c:v>13591</c:v>
                </c:pt>
                <c:pt idx="72">
                  <c:v>261</c:v>
                </c:pt>
              </c:numCache>
            </c:numRef>
          </c:yVal>
          <c:smooth val="0"/>
          <c:extLst>
            <c:ext xmlns:c16="http://schemas.microsoft.com/office/drawing/2014/chart" uri="{C3380CC4-5D6E-409C-BE32-E72D297353CC}">
              <c16:uniqueId val="{00000000-AE67-41C8-A946-50A96DEB3F1B}"/>
            </c:ext>
          </c:extLst>
        </c:ser>
        <c:dLbls>
          <c:showLegendKey val="0"/>
          <c:showVal val="0"/>
          <c:showCatName val="0"/>
          <c:showSerName val="0"/>
          <c:showPercent val="0"/>
          <c:showBubbleSize val="0"/>
        </c:dLbls>
        <c:axId val="1569379456"/>
        <c:axId val="1569379936"/>
      </c:scatterChart>
      <c:valAx>
        <c:axId val="1569379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379936"/>
        <c:crosses val="autoZero"/>
        <c:crossBetween val="midCat"/>
      </c:valAx>
      <c:valAx>
        <c:axId val="1569379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3794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Correlation!$D$1</c:f>
              <c:strCache>
                <c:ptCount val="1"/>
                <c:pt idx="0">
                  <c:v>Standardize</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5557524059492563E-2"/>
                  <c:y val="-0.2359997807698631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Correlation!$A$2:$A$103</c:f>
              <c:numCache>
                <c:formatCode>General</c:formatCode>
                <c:ptCount val="102"/>
                <c:pt idx="0">
                  <c:v>2</c:v>
                </c:pt>
                <c:pt idx="1">
                  <c:v>10</c:v>
                </c:pt>
                <c:pt idx="2">
                  <c:v>10</c:v>
                </c:pt>
                <c:pt idx="3">
                  <c:v>10</c:v>
                </c:pt>
                <c:pt idx="4">
                  <c:v>9</c:v>
                </c:pt>
                <c:pt idx="5">
                  <c:v>10</c:v>
                </c:pt>
                <c:pt idx="6">
                  <c:v>10</c:v>
                </c:pt>
                <c:pt idx="7">
                  <c:v>10</c:v>
                </c:pt>
                <c:pt idx="8">
                  <c:v>6</c:v>
                </c:pt>
                <c:pt idx="9">
                  <c:v>10</c:v>
                </c:pt>
                <c:pt idx="10">
                  <c:v>10</c:v>
                </c:pt>
                <c:pt idx="11">
                  <c:v>10</c:v>
                </c:pt>
                <c:pt idx="12">
                  <c:v>5</c:v>
                </c:pt>
                <c:pt idx="13">
                  <c:v>9</c:v>
                </c:pt>
                <c:pt idx="14">
                  <c:v>10</c:v>
                </c:pt>
                <c:pt idx="15">
                  <c:v>10</c:v>
                </c:pt>
                <c:pt idx="16">
                  <c:v>0</c:v>
                </c:pt>
                <c:pt idx="17">
                  <c:v>10</c:v>
                </c:pt>
                <c:pt idx="18">
                  <c:v>5</c:v>
                </c:pt>
                <c:pt idx="19">
                  <c:v>10</c:v>
                </c:pt>
                <c:pt idx="20">
                  <c:v>8</c:v>
                </c:pt>
                <c:pt idx="21">
                  <c:v>0</c:v>
                </c:pt>
                <c:pt idx="22">
                  <c:v>8</c:v>
                </c:pt>
                <c:pt idx="23">
                  <c:v>10</c:v>
                </c:pt>
                <c:pt idx="24">
                  <c:v>0</c:v>
                </c:pt>
                <c:pt idx="25">
                  <c:v>10</c:v>
                </c:pt>
                <c:pt idx="26">
                  <c:v>10</c:v>
                </c:pt>
                <c:pt idx="27">
                  <c:v>10</c:v>
                </c:pt>
                <c:pt idx="28">
                  <c:v>7</c:v>
                </c:pt>
                <c:pt idx="29">
                  <c:v>5</c:v>
                </c:pt>
                <c:pt idx="30">
                  <c:v>10</c:v>
                </c:pt>
                <c:pt idx="31">
                  <c:v>10</c:v>
                </c:pt>
                <c:pt idx="32">
                  <c:v>6</c:v>
                </c:pt>
                <c:pt idx="33">
                  <c:v>10</c:v>
                </c:pt>
                <c:pt idx="34">
                  <c:v>9</c:v>
                </c:pt>
                <c:pt idx="35">
                  <c:v>7</c:v>
                </c:pt>
                <c:pt idx="36">
                  <c:v>10</c:v>
                </c:pt>
                <c:pt idx="37">
                  <c:v>0</c:v>
                </c:pt>
                <c:pt idx="38">
                  <c:v>10</c:v>
                </c:pt>
                <c:pt idx="39">
                  <c:v>3</c:v>
                </c:pt>
                <c:pt idx="40">
                  <c:v>0</c:v>
                </c:pt>
                <c:pt idx="41">
                  <c:v>10</c:v>
                </c:pt>
                <c:pt idx="42">
                  <c:v>0</c:v>
                </c:pt>
                <c:pt idx="43">
                  <c:v>10</c:v>
                </c:pt>
                <c:pt idx="44">
                  <c:v>0</c:v>
                </c:pt>
                <c:pt idx="45">
                  <c:v>8</c:v>
                </c:pt>
                <c:pt idx="46">
                  <c:v>0</c:v>
                </c:pt>
                <c:pt idx="47">
                  <c:v>10</c:v>
                </c:pt>
                <c:pt idx="48">
                  <c:v>10</c:v>
                </c:pt>
                <c:pt idx="49">
                  <c:v>10</c:v>
                </c:pt>
                <c:pt idx="50">
                  <c:v>3</c:v>
                </c:pt>
                <c:pt idx="51">
                  <c:v>10</c:v>
                </c:pt>
                <c:pt idx="52">
                  <c:v>0</c:v>
                </c:pt>
                <c:pt idx="53">
                  <c:v>1</c:v>
                </c:pt>
                <c:pt idx="54">
                  <c:v>10</c:v>
                </c:pt>
                <c:pt idx="55">
                  <c:v>3</c:v>
                </c:pt>
                <c:pt idx="56">
                  <c:v>10</c:v>
                </c:pt>
                <c:pt idx="57">
                  <c:v>10</c:v>
                </c:pt>
                <c:pt idx="58">
                  <c:v>9</c:v>
                </c:pt>
                <c:pt idx="59">
                  <c:v>8</c:v>
                </c:pt>
                <c:pt idx="60">
                  <c:v>10</c:v>
                </c:pt>
                <c:pt idx="61">
                  <c:v>10</c:v>
                </c:pt>
                <c:pt idx="62">
                  <c:v>10</c:v>
                </c:pt>
                <c:pt idx="63">
                  <c:v>9</c:v>
                </c:pt>
                <c:pt idx="64">
                  <c:v>1</c:v>
                </c:pt>
                <c:pt idx="65">
                  <c:v>9</c:v>
                </c:pt>
                <c:pt idx="66">
                  <c:v>9</c:v>
                </c:pt>
                <c:pt idx="67">
                  <c:v>9</c:v>
                </c:pt>
                <c:pt idx="68">
                  <c:v>0</c:v>
                </c:pt>
                <c:pt idx="69">
                  <c:v>8</c:v>
                </c:pt>
                <c:pt idx="70">
                  <c:v>10</c:v>
                </c:pt>
                <c:pt idx="71">
                  <c:v>0</c:v>
                </c:pt>
                <c:pt idx="72">
                  <c:v>8</c:v>
                </c:pt>
              </c:numCache>
            </c:numRef>
          </c:xVal>
          <c:yVal>
            <c:numRef>
              <c:f>Correlation!$D$2:$D$103</c:f>
              <c:numCache>
                <c:formatCode>General</c:formatCode>
                <c:ptCount val="102"/>
                <c:pt idx="0">
                  <c:v>0.66541975307387402</c:v>
                </c:pt>
                <c:pt idx="1">
                  <c:v>0.55066240440236569</c:v>
                </c:pt>
                <c:pt idx="2">
                  <c:v>-0.75317640816328102</c:v>
                </c:pt>
                <c:pt idx="3">
                  <c:v>-0.90224530453388518</c:v>
                </c:pt>
                <c:pt idx="4">
                  <c:v>-8.2880405172702121E-2</c:v>
                </c:pt>
                <c:pt idx="5">
                  <c:v>0.28439451364383822</c:v>
                </c:pt>
                <c:pt idx="6">
                  <c:v>2.0020280213071966</c:v>
                </c:pt>
                <c:pt idx="7">
                  <c:v>-0.8053505218929925</c:v>
                </c:pt>
                <c:pt idx="8">
                  <c:v>-5.1139010859306222E-2</c:v>
                </c:pt>
                <c:pt idx="9">
                  <c:v>2.1221826920886748</c:v>
                </c:pt>
                <c:pt idx="10">
                  <c:v>3.476748586820318E-3</c:v>
                </c:pt>
                <c:pt idx="11">
                  <c:v>2.167674407015566</c:v>
                </c:pt>
                <c:pt idx="12">
                  <c:v>-0.9869318585927026</c:v>
                </c:pt>
                <c:pt idx="13">
                  <c:v>-0.98461872054557253</c:v>
                </c:pt>
                <c:pt idx="14">
                  <c:v>-0.97343855331777718</c:v>
                </c:pt>
                <c:pt idx="15">
                  <c:v>-0.86767674149621921</c:v>
                </c:pt>
                <c:pt idx="16">
                  <c:v>0.16051312045309474</c:v>
                </c:pt>
                <c:pt idx="17">
                  <c:v>0.70859832995363514</c:v>
                </c:pt>
                <c:pt idx="18">
                  <c:v>1.2897100104604216</c:v>
                </c:pt>
                <c:pt idx="19">
                  <c:v>-0.31419420988570862</c:v>
                </c:pt>
                <c:pt idx="20">
                  <c:v>-0.97690826038847234</c:v>
                </c:pt>
                <c:pt idx="21">
                  <c:v>-0.95930270969642684</c:v>
                </c:pt>
                <c:pt idx="22">
                  <c:v>5.3337724269401726E-2</c:v>
                </c:pt>
                <c:pt idx="23">
                  <c:v>-0.98564678189985255</c:v>
                </c:pt>
                <c:pt idx="24">
                  <c:v>-0.63816204415320277</c:v>
                </c:pt>
                <c:pt idx="25">
                  <c:v>-0.98603230490770755</c:v>
                </c:pt>
                <c:pt idx="26">
                  <c:v>0.30367066403658877</c:v>
                </c:pt>
                <c:pt idx="27">
                  <c:v>0.13121337185611393</c:v>
                </c:pt>
                <c:pt idx="28">
                  <c:v>-0.98281961317558253</c:v>
                </c:pt>
                <c:pt idx="29">
                  <c:v>0.71348162138646531</c:v>
                </c:pt>
                <c:pt idx="30">
                  <c:v>-3.3661967836545729E-2</c:v>
                </c:pt>
                <c:pt idx="31">
                  <c:v>-0.92216399327306076</c:v>
                </c:pt>
                <c:pt idx="32">
                  <c:v>2.5469005390756121</c:v>
                </c:pt>
                <c:pt idx="33">
                  <c:v>-0.75767417658825609</c:v>
                </c:pt>
                <c:pt idx="34">
                  <c:v>-0.59960974336770168</c:v>
                </c:pt>
                <c:pt idx="35">
                  <c:v>-0.98461872054557253</c:v>
                </c:pt>
                <c:pt idx="36">
                  <c:v>-0.98127752114416245</c:v>
                </c:pt>
                <c:pt idx="37">
                  <c:v>-0.92319205462734077</c:v>
                </c:pt>
                <c:pt idx="38">
                  <c:v>1.4653799943730215</c:v>
                </c:pt>
                <c:pt idx="39">
                  <c:v>0.22052620200919143</c:v>
                </c:pt>
                <c:pt idx="40">
                  <c:v>0.70911236063077521</c:v>
                </c:pt>
                <c:pt idx="41">
                  <c:v>0.11527842086477347</c:v>
                </c:pt>
                <c:pt idx="42">
                  <c:v>-0.84480237636348865</c:v>
                </c:pt>
                <c:pt idx="43">
                  <c:v>-0.95403389525574167</c:v>
                </c:pt>
                <c:pt idx="44">
                  <c:v>0.68778008752946462</c:v>
                </c:pt>
                <c:pt idx="45">
                  <c:v>-0.98487573588414257</c:v>
                </c:pt>
                <c:pt idx="46">
                  <c:v>0.68790859519874958</c:v>
                </c:pt>
                <c:pt idx="47">
                  <c:v>-0.78144809540598181</c:v>
                </c:pt>
                <c:pt idx="48">
                  <c:v>-0.70588558586639971</c:v>
                </c:pt>
                <c:pt idx="49">
                  <c:v>1.0003107392305934</c:v>
                </c:pt>
                <c:pt idx="50">
                  <c:v>1.3016612237039269</c:v>
                </c:pt>
                <c:pt idx="51">
                  <c:v>-0.98718887393127264</c:v>
                </c:pt>
                <c:pt idx="52">
                  <c:v>0.81615924914518323</c:v>
                </c:pt>
                <c:pt idx="53">
                  <c:v>0.89776161914116048</c:v>
                </c:pt>
                <c:pt idx="54">
                  <c:v>-0.98718887393127264</c:v>
                </c:pt>
                <c:pt idx="55">
                  <c:v>0.77709291768254207</c:v>
                </c:pt>
                <c:pt idx="56">
                  <c:v>-0.81447456641222771</c:v>
                </c:pt>
                <c:pt idx="57">
                  <c:v>-0.17000860494793457</c:v>
                </c:pt>
                <c:pt idx="58">
                  <c:v>2.6985395888319164</c:v>
                </c:pt>
                <c:pt idx="59">
                  <c:v>0.72723194199996077</c:v>
                </c:pt>
                <c:pt idx="60">
                  <c:v>1.5215378458505679</c:v>
                </c:pt>
                <c:pt idx="61">
                  <c:v>-0.80984829031796757</c:v>
                </c:pt>
                <c:pt idx="62">
                  <c:v>-0.95069269585433158</c:v>
                </c:pt>
                <c:pt idx="63">
                  <c:v>-0.87988497007829458</c:v>
                </c:pt>
                <c:pt idx="64">
                  <c:v>-0.84390282267849359</c:v>
                </c:pt>
                <c:pt idx="65">
                  <c:v>-0.20367761430060552</c:v>
                </c:pt>
                <c:pt idx="66">
                  <c:v>0.93361525887167651</c:v>
                </c:pt>
                <c:pt idx="67">
                  <c:v>-0.98063498279773742</c:v>
                </c:pt>
                <c:pt idx="68">
                  <c:v>1.6145773984129106</c:v>
                </c:pt>
                <c:pt idx="69">
                  <c:v>-0.43370634232076199</c:v>
                </c:pt>
                <c:pt idx="70">
                  <c:v>0.12080425064402862</c:v>
                </c:pt>
                <c:pt idx="71">
                  <c:v>0.74972078412483634</c:v>
                </c:pt>
                <c:pt idx="72">
                  <c:v>-0.96328644744426195</c:v>
                </c:pt>
              </c:numCache>
            </c:numRef>
          </c:yVal>
          <c:smooth val="0"/>
          <c:extLst>
            <c:ext xmlns:c16="http://schemas.microsoft.com/office/drawing/2014/chart" uri="{C3380CC4-5D6E-409C-BE32-E72D297353CC}">
              <c16:uniqueId val="{00000000-9FF6-4080-8106-2962744686E7}"/>
            </c:ext>
          </c:extLst>
        </c:ser>
        <c:dLbls>
          <c:showLegendKey val="0"/>
          <c:showVal val="0"/>
          <c:showCatName val="0"/>
          <c:showSerName val="0"/>
          <c:showPercent val="0"/>
          <c:showBubbleSize val="0"/>
        </c:dLbls>
        <c:axId val="153012112"/>
        <c:axId val="153013072"/>
      </c:scatterChart>
      <c:valAx>
        <c:axId val="153012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13072"/>
        <c:crosses val="autoZero"/>
        <c:crossBetween val="midCat"/>
      </c:valAx>
      <c:valAx>
        <c:axId val="153013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1211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[customerSurveyResult.xlsx]Pivot Table!PivotTable16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NPS</a:t>
            </a:r>
            <a:r>
              <a:rPr lang="en-US" baseline="0"/>
              <a:t> &amp; Survey Count: Site 1 vs Site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c:f>
              <c:strCache>
                <c:ptCount val="1"/>
                <c:pt idx="0">
                  <c:v>Average NPS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Site 1</c:v>
                </c:pt>
                <c:pt idx="1">
                  <c:v>Site 2</c:v>
                </c:pt>
              </c:strCache>
            </c:strRef>
          </c:cat>
          <c:val>
            <c:numRef>
              <c:f>'Pivot Table'!$B$3:$B$5</c:f>
              <c:numCache>
                <c:formatCode>0.00</c:formatCode>
                <c:ptCount val="2"/>
                <c:pt idx="0">
                  <c:v>39.583333333333336</c:v>
                </c:pt>
                <c:pt idx="1">
                  <c:v>38.888888888888886</c:v>
                </c:pt>
              </c:numCache>
            </c:numRef>
          </c:val>
          <c:extLst>
            <c:ext xmlns:c16="http://schemas.microsoft.com/office/drawing/2014/chart" uri="{C3380CC4-5D6E-409C-BE32-E72D297353CC}">
              <c16:uniqueId val="{00000000-2AF2-4922-A5EC-6280D1E40209}"/>
            </c:ext>
          </c:extLst>
        </c:ser>
        <c:ser>
          <c:idx val="1"/>
          <c:order val="1"/>
          <c:tx>
            <c:strRef>
              <c:f>'Pivot Table'!$C$2</c:f>
              <c:strCache>
                <c:ptCount val="1"/>
                <c:pt idx="0">
                  <c:v>Survey 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Site 1</c:v>
                </c:pt>
                <c:pt idx="1">
                  <c:v>Site 2</c:v>
                </c:pt>
              </c:strCache>
            </c:strRef>
          </c:cat>
          <c:val>
            <c:numRef>
              <c:f>'Pivot Table'!$C$3:$C$5</c:f>
              <c:numCache>
                <c:formatCode>0</c:formatCode>
                <c:ptCount val="2"/>
                <c:pt idx="0">
                  <c:v>48</c:v>
                </c:pt>
                <c:pt idx="1">
                  <c:v>54</c:v>
                </c:pt>
              </c:numCache>
            </c:numRef>
          </c:val>
          <c:extLst>
            <c:ext xmlns:c16="http://schemas.microsoft.com/office/drawing/2014/chart" uri="{C3380CC4-5D6E-409C-BE32-E72D297353CC}">
              <c16:uniqueId val="{00000001-2AF2-4922-A5EC-6280D1E40209}"/>
            </c:ext>
          </c:extLst>
        </c:ser>
        <c:dLbls>
          <c:dLblPos val="outEnd"/>
          <c:showLegendKey val="0"/>
          <c:showVal val="1"/>
          <c:showCatName val="0"/>
          <c:showSerName val="0"/>
          <c:showPercent val="0"/>
          <c:showBubbleSize val="0"/>
        </c:dLbls>
        <c:gapWidth val="219"/>
        <c:overlap val="-27"/>
        <c:axId val="426930335"/>
        <c:axId val="426922655"/>
      </c:barChart>
      <c:catAx>
        <c:axId val="42693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922655"/>
        <c:crosses val="autoZero"/>
        <c:auto val="1"/>
        <c:lblAlgn val="ctr"/>
        <c:lblOffset val="100"/>
        <c:noMultiLvlLbl val="0"/>
      </c:catAx>
      <c:valAx>
        <c:axId val="426922655"/>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4269303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[customerSurveyResult.xlsx]Pivot Table!PivotTable17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CSAT per Contact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1"/>
          <c:order val="1"/>
          <c:tx>
            <c:strRef>
              <c:f>'Pivot Table'!$D$7</c:f>
              <c:strCache>
                <c:ptCount val="1"/>
                <c:pt idx="0">
                  <c:v>Count of Case ID</c:v>
                </c:pt>
              </c:strCache>
            </c:strRef>
          </c:tx>
          <c:spPr>
            <a:solidFill>
              <a:schemeClr val="accent2"/>
            </a:solidFill>
            <a:ln>
              <a:noFill/>
            </a:ln>
            <a:effectLst/>
          </c:spPr>
          <c:invertIfNegative val="0"/>
          <c:cat>
            <c:multiLvlStrRef>
              <c:f>'Pivot Table'!$A$8:$B$17</c:f>
              <c:multiLvlStrCache>
                <c:ptCount val="7"/>
                <c:lvl>
                  <c:pt idx="0">
                    <c:v>Chat</c:v>
                  </c:pt>
                  <c:pt idx="1">
                    <c:v>Email</c:v>
                  </c:pt>
                  <c:pt idx="2">
                    <c:v>WhatsApp</c:v>
                  </c:pt>
                  <c:pt idx="3">
                    <c:v>Chat</c:v>
                  </c:pt>
                  <c:pt idx="4">
                    <c:v>Email</c:v>
                  </c:pt>
                  <c:pt idx="5">
                    <c:v>Salesforce</c:v>
                  </c:pt>
                  <c:pt idx="6">
                    <c:v>WhatsApp</c:v>
                  </c:pt>
                </c:lvl>
                <c:lvl>
                  <c:pt idx="0">
                    <c:v>Site 1</c:v>
                  </c:pt>
                  <c:pt idx="3">
                    <c:v>Site 2</c:v>
                  </c:pt>
                </c:lvl>
              </c:multiLvlStrCache>
            </c:multiLvlStrRef>
          </c:cat>
          <c:val>
            <c:numRef>
              <c:f>'Pivot Table'!$D$8:$D$17</c:f>
              <c:numCache>
                <c:formatCode>#,##0</c:formatCode>
                <c:ptCount val="7"/>
                <c:pt idx="0">
                  <c:v>21</c:v>
                </c:pt>
                <c:pt idx="1">
                  <c:v>13</c:v>
                </c:pt>
                <c:pt idx="2">
                  <c:v>14</c:v>
                </c:pt>
                <c:pt idx="3">
                  <c:v>15</c:v>
                </c:pt>
                <c:pt idx="4">
                  <c:v>29</c:v>
                </c:pt>
                <c:pt idx="5">
                  <c:v>2</c:v>
                </c:pt>
                <c:pt idx="6">
                  <c:v>8</c:v>
                </c:pt>
              </c:numCache>
            </c:numRef>
          </c:val>
          <c:extLst>
            <c:ext xmlns:c16="http://schemas.microsoft.com/office/drawing/2014/chart" uri="{C3380CC4-5D6E-409C-BE32-E72D297353CC}">
              <c16:uniqueId val="{00000000-8DC1-4671-BDA0-3423A501D115}"/>
            </c:ext>
          </c:extLst>
        </c:ser>
        <c:dLbls>
          <c:showLegendKey val="0"/>
          <c:showVal val="0"/>
          <c:showCatName val="0"/>
          <c:showSerName val="0"/>
          <c:showPercent val="0"/>
          <c:showBubbleSize val="0"/>
        </c:dLbls>
        <c:gapWidth val="182"/>
        <c:axId val="914860463"/>
        <c:axId val="914847983"/>
      </c:barChart>
      <c:barChart>
        <c:barDir val="bar"/>
        <c:grouping val="clustered"/>
        <c:varyColors val="0"/>
        <c:ser>
          <c:idx val="0"/>
          <c:order val="0"/>
          <c:tx>
            <c:strRef>
              <c:f>'Pivot Table'!$C$7</c:f>
              <c:strCache>
                <c:ptCount val="1"/>
                <c:pt idx="0">
                  <c:v>Average of Net Promoter Score</c:v>
                </c:pt>
              </c:strCache>
            </c:strRef>
          </c:tx>
          <c:spPr>
            <a:solidFill>
              <a:schemeClr val="accent1"/>
            </a:solidFill>
            <a:ln>
              <a:noFill/>
            </a:ln>
            <a:effectLst/>
          </c:spPr>
          <c:invertIfNegative val="0"/>
          <c:cat>
            <c:multiLvlStrRef>
              <c:f>'Pivot Table'!$A$8:$B$17</c:f>
              <c:multiLvlStrCache>
                <c:ptCount val="7"/>
                <c:lvl>
                  <c:pt idx="0">
                    <c:v>Chat</c:v>
                  </c:pt>
                  <c:pt idx="1">
                    <c:v>Email</c:v>
                  </c:pt>
                  <c:pt idx="2">
                    <c:v>WhatsApp</c:v>
                  </c:pt>
                  <c:pt idx="3">
                    <c:v>Chat</c:v>
                  </c:pt>
                  <c:pt idx="4">
                    <c:v>Email</c:v>
                  </c:pt>
                  <c:pt idx="5">
                    <c:v>Salesforce</c:v>
                  </c:pt>
                  <c:pt idx="6">
                    <c:v>WhatsApp</c:v>
                  </c:pt>
                </c:lvl>
                <c:lvl>
                  <c:pt idx="0">
                    <c:v>Site 1</c:v>
                  </c:pt>
                  <c:pt idx="3">
                    <c:v>Site 2</c:v>
                  </c:pt>
                </c:lvl>
              </c:multiLvlStrCache>
            </c:multiLvlStrRef>
          </c:cat>
          <c:val>
            <c:numRef>
              <c:f>'Pivot Table'!$C$8:$C$17</c:f>
              <c:numCache>
                <c:formatCode>0.00</c:formatCode>
                <c:ptCount val="7"/>
                <c:pt idx="0">
                  <c:v>19.047619047619047</c:v>
                </c:pt>
                <c:pt idx="1">
                  <c:v>15.384615384615385</c:v>
                </c:pt>
                <c:pt idx="2">
                  <c:v>92.857142857142861</c:v>
                </c:pt>
                <c:pt idx="3">
                  <c:v>66.666666666666671</c:v>
                </c:pt>
                <c:pt idx="4">
                  <c:v>34.482758620689658</c:v>
                </c:pt>
                <c:pt idx="5">
                  <c:v>0</c:v>
                </c:pt>
                <c:pt idx="6">
                  <c:v>12.5</c:v>
                </c:pt>
              </c:numCache>
            </c:numRef>
          </c:val>
          <c:extLst>
            <c:ext xmlns:c16="http://schemas.microsoft.com/office/drawing/2014/chart" uri="{C3380CC4-5D6E-409C-BE32-E72D297353CC}">
              <c16:uniqueId val="{00000001-8DC1-4671-BDA0-3423A501D115}"/>
            </c:ext>
          </c:extLst>
        </c:ser>
        <c:dLbls>
          <c:showLegendKey val="0"/>
          <c:showVal val="0"/>
          <c:showCatName val="0"/>
          <c:showSerName val="0"/>
          <c:showPercent val="0"/>
          <c:showBubbleSize val="0"/>
        </c:dLbls>
        <c:gapWidth val="182"/>
        <c:axId val="914901263"/>
        <c:axId val="914889263"/>
      </c:barChart>
      <c:catAx>
        <c:axId val="914860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847983"/>
        <c:crosses val="autoZero"/>
        <c:auto val="1"/>
        <c:lblAlgn val="ctr"/>
        <c:lblOffset val="100"/>
        <c:noMultiLvlLbl val="0"/>
      </c:catAx>
      <c:valAx>
        <c:axId val="91484798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860463"/>
        <c:crosses val="autoZero"/>
        <c:crossBetween val="between"/>
      </c:valAx>
      <c:valAx>
        <c:axId val="914889263"/>
        <c:scaling>
          <c:orientation val="minMax"/>
        </c:scaling>
        <c:delete val="0"/>
        <c:axPos val="t"/>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901263"/>
        <c:crosses val="max"/>
        <c:crossBetween val="between"/>
      </c:valAx>
      <c:catAx>
        <c:axId val="914901263"/>
        <c:scaling>
          <c:orientation val="minMax"/>
        </c:scaling>
        <c:delete val="1"/>
        <c:axPos val="l"/>
        <c:numFmt formatCode="General" sourceLinked="1"/>
        <c:majorTickMark val="out"/>
        <c:minorTickMark val="none"/>
        <c:tickLblPos val="nextTo"/>
        <c:crossAx val="91488926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[customerSurveyResult.xlsx]Pivot Table!PivotTable18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NPS</a:t>
            </a:r>
            <a:r>
              <a:rPr lang="en-US" baseline="0"/>
              <a:t> per Driver &amp; Site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Table'!$C$20</c:f>
              <c:strCache>
                <c:ptCount val="1"/>
                <c:pt idx="0">
                  <c:v>Average NPS</c:v>
                </c:pt>
              </c:strCache>
            </c:strRef>
          </c:tx>
          <c:spPr>
            <a:solidFill>
              <a:schemeClr val="accent1"/>
            </a:solidFill>
            <a:ln>
              <a:noFill/>
            </a:ln>
            <a:effectLst/>
          </c:spPr>
          <c:invertIfNegative val="0"/>
          <c:cat>
            <c:multiLvlStrRef>
              <c:f>'Pivot Table'!$A$21:$B$45</c:f>
              <c:multiLvlStrCache>
                <c:ptCount val="22"/>
                <c:lvl>
                  <c:pt idx="0">
                    <c:v>Power Issues</c:v>
                  </c:pt>
                  <c:pt idx="1">
                    <c:v>Experience Management</c:v>
                  </c:pt>
                  <c:pt idx="2">
                    <c:v>Digital Order</c:v>
                  </c:pt>
                  <c:pt idx="3">
                    <c:v>Device Usage</c:v>
                  </c:pt>
                  <c:pt idx="4">
                    <c:v>Display/Visual Issues</c:v>
                  </c:pt>
                  <c:pt idx="5">
                    <c:v>Hardware Order</c:v>
                  </c:pt>
                  <c:pt idx="6">
                    <c:v>Tracking and Input</c:v>
                  </c:pt>
                  <c:pt idx="7">
                    <c:v>Questions</c:v>
                  </c:pt>
                  <c:pt idx="8">
                    <c:v>Parent-Managed Account</c:v>
                  </c:pt>
                  <c:pt idx="9">
                    <c:v>Audio Issues</c:v>
                  </c:pt>
                  <c:pt idx="10">
                    <c:v>Meta Account</c:v>
                  </c:pt>
                  <c:pt idx="11">
                    <c:v>Experience Usage</c:v>
                  </c:pt>
                  <c:pt idx="12">
                    <c:v>Parent-Managed Account</c:v>
                  </c:pt>
                  <c:pt idx="13">
                    <c:v>Questions</c:v>
                  </c:pt>
                  <c:pt idx="14">
                    <c:v>Experience Usage</c:v>
                  </c:pt>
                  <c:pt idx="15">
                    <c:v>Device Usage</c:v>
                  </c:pt>
                  <c:pt idx="16">
                    <c:v>Tracking and Input</c:v>
                  </c:pt>
                  <c:pt idx="17">
                    <c:v>Hardware Order</c:v>
                  </c:pt>
                  <c:pt idx="18">
                    <c:v>Digital Order</c:v>
                  </c:pt>
                  <c:pt idx="19">
                    <c:v>Display/Visual Issues</c:v>
                  </c:pt>
                  <c:pt idx="20">
                    <c:v>Power Issues</c:v>
                  </c:pt>
                  <c:pt idx="21">
                    <c:v>Meta Account</c:v>
                  </c:pt>
                </c:lvl>
                <c:lvl>
                  <c:pt idx="0">
                    <c:v>Site 1</c:v>
                  </c:pt>
                  <c:pt idx="12">
                    <c:v>Site 2</c:v>
                  </c:pt>
                </c:lvl>
              </c:multiLvlStrCache>
            </c:multiLvlStrRef>
          </c:cat>
          <c:val>
            <c:numRef>
              <c:f>'Pivot Table'!$C$21:$C$45</c:f>
              <c:numCache>
                <c:formatCode>0.00</c:formatCode>
                <c:ptCount val="22"/>
                <c:pt idx="0">
                  <c:v>100</c:v>
                </c:pt>
                <c:pt idx="1">
                  <c:v>100</c:v>
                </c:pt>
                <c:pt idx="2">
                  <c:v>83.333333333333329</c:v>
                </c:pt>
                <c:pt idx="3">
                  <c:v>75</c:v>
                </c:pt>
                <c:pt idx="4">
                  <c:v>66.666666666666671</c:v>
                </c:pt>
                <c:pt idx="5">
                  <c:v>30</c:v>
                </c:pt>
                <c:pt idx="6">
                  <c:v>16.666666666666668</c:v>
                </c:pt>
                <c:pt idx="7">
                  <c:v>0</c:v>
                </c:pt>
                <c:pt idx="8">
                  <c:v>0</c:v>
                </c:pt>
                <c:pt idx="9">
                  <c:v>0</c:v>
                </c:pt>
                <c:pt idx="10">
                  <c:v>-33.333333333333336</c:v>
                </c:pt>
                <c:pt idx="11">
                  <c:v>-66.666666666666671</c:v>
                </c:pt>
                <c:pt idx="12">
                  <c:v>100</c:v>
                </c:pt>
                <c:pt idx="13">
                  <c:v>50</c:v>
                </c:pt>
                <c:pt idx="14">
                  <c:v>50</c:v>
                </c:pt>
                <c:pt idx="15">
                  <c:v>50</c:v>
                </c:pt>
                <c:pt idx="16">
                  <c:v>42.857142857142854</c:v>
                </c:pt>
                <c:pt idx="17">
                  <c:v>42.857142857142854</c:v>
                </c:pt>
                <c:pt idx="18">
                  <c:v>40</c:v>
                </c:pt>
                <c:pt idx="19">
                  <c:v>33.333333333333336</c:v>
                </c:pt>
                <c:pt idx="20">
                  <c:v>0</c:v>
                </c:pt>
                <c:pt idx="21">
                  <c:v>-33.333333333333336</c:v>
                </c:pt>
              </c:numCache>
            </c:numRef>
          </c:val>
          <c:extLst>
            <c:ext xmlns:c16="http://schemas.microsoft.com/office/drawing/2014/chart" uri="{C3380CC4-5D6E-409C-BE32-E72D297353CC}">
              <c16:uniqueId val="{00000000-3F7F-4D1F-AE41-42FC8FBB4D7D}"/>
            </c:ext>
          </c:extLst>
        </c:ser>
        <c:ser>
          <c:idx val="1"/>
          <c:order val="1"/>
          <c:tx>
            <c:strRef>
              <c:f>'Pivot Table'!$D$20</c:f>
              <c:strCache>
                <c:ptCount val="1"/>
                <c:pt idx="0">
                  <c:v>Survey Count</c:v>
                </c:pt>
              </c:strCache>
            </c:strRef>
          </c:tx>
          <c:spPr>
            <a:solidFill>
              <a:schemeClr val="accent2"/>
            </a:solidFill>
            <a:ln>
              <a:noFill/>
            </a:ln>
            <a:effectLst/>
          </c:spPr>
          <c:invertIfNegative val="0"/>
          <c:cat>
            <c:multiLvlStrRef>
              <c:f>'Pivot Table'!$A$21:$B$45</c:f>
              <c:multiLvlStrCache>
                <c:ptCount val="22"/>
                <c:lvl>
                  <c:pt idx="0">
                    <c:v>Power Issues</c:v>
                  </c:pt>
                  <c:pt idx="1">
                    <c:v>Experience Management</c:v>
                  </c:pt>
                  <c:pt idx="2">
                    <c:v>Digital Order</c:v>
                  </c:pt>
                  <c:pt idx="3">
                    <c:v>Device Usage</c:v>
                  </c:pt>
                  <c:pt idx="4">
                    <c:v>Display/Visual Issues</c:v>
                  </c:pt>
                  <c:pt idx="5">
                    <c:v>Hardware Order</c:v>
                  </c:pt>
                  <c:pt idx="6">
                    <c:v>Tracking and Input</c:v>
                  </c:pt>
                  <c:pt idx="7">
                    <c:v>Questions</c:v>
                  </c:pt>
                  <c:pt idx="8">
                    <c:v>Parent-Managed Account</c:v>
                  </c:pt>
                  <c:pt idx="9">
                    <c:v>Audio Issues</c:v>
                  </c:pt>
                  <c:pt idx="10">
                    <c:v>Meta Account</c:v>
                  </c:pt>
                  <c:pt idx="11">
                    <c:v>Experience Usage</c:v>
                  </c:pt>
                  <c:pt idx="12">
                    <c:v>Parent-Managed Account</c:v>
                  </c:pt>
                  <c:pt idx="13">
                    <c:v>Questions</c:v>
                  </c:pt>
                  <c:pt idx="14">
                    <c:v>Experience Usage</c:v>
                  </c:pt>
                  <c:pt idx="15">
                    <c:v>Device Usage</c:v>
                  </c:pt>
                  <c:pt idx="16">
                    <c:v>Tracking and Input</c:v>
                  </c:pt>
                  <c:pt idx="17">
                    <c:v>Hardware Order</c:v>
                  </c:pt>
                  <c:pt idx="18">
                    <c:v>Digital Order</c:v>
                  </c:pt>
                  <c:pt idx="19">
                    <c:v>Display/Visual Issues</c:v>
                  </c:pt>
                  <c:pt idx="20">
                    <c:v>Power Issues</c:v>
                  </c:pt>
                  <c:pt idx="21">
                    <c:v>Meta Account</c:v>
                  </c:pt>
                </c:lvl>
                <c:lvl>
                  <c:pt idx="0">
                    <c:v>Site 1</c:v>
                  </c:pt>
                  <c:pt idx="12">
                    <c:v>Site 2</c:v>
                  </c:pt>
                </c:lvl>
              </c:multiLvlStrCache>
            </c:multiLvlStrRef>
          </c:cat>
          <c:val>
            <c:numRef>
              <c:f>'Pivot Table'!$D$21:$D$45</c:f>
              <c:numCache>
                <c:formatCode>0</c:formatCode>
                <c:ptCount val="22"/>
                <c:pt idx="0">
                  <c:v>2</c:v>
                </c:pt>
                <c:pt idx="1">
                  <c:v>1</c:v>
                </c:pt>
                <c:pt idx="2">
                  <c:v>12</c:v>
                </c:pt>
                <c:pt idx="3">
                  <c:v>4</c:v>
                </c:pt>
                <c:pt idx="4">
                  <c:v>3</c:v>
                </c:pt>
                <c:pt idx="5">
                  <c:v>10</c:v>
                </c:pt>
                <c:pt idx="6">
                  <c:v>6</c:v>
                </c:pt>
                <c:pt idx="7">
                  <c:v>2</c:v>
                </c:pt>
                <c:pt idx="8">
                  <c:v>1</c:v>
                </c:pt>
                <c:pt idx="9">
                  <c:v>1</c:v>
                </c:pt>
                <c:pt idx="10">
                  <c:v>3</c:v>
                </c:pt>
                <c:pt idx="11">
                  <c:v>3</c:v>
                </c:pt>
                <c:pt idx="12">
                  <c:v>1</c:v>
                </c:pt>
                <c:pt idx="13">
                  <c:v>4</c:v>
                </c:pt>
                <c:pt idx="14">
                  <c:v>2</c:v>
                </c:pt>
                <c:pt idx="15">
                  <c:v>4</c:v>
                </c:pt>
                <c:pt idx="16">
                  <c:v>7</c:v>
                </c:pt>
                <c:pt idx="17">
                  <c:v>14</c:v>
                </c:pt>
                <c:pt idx="18">
                  <c:v>15</c:v>
                </c:pt>
                <c:pt idx="19">
                  <c:v>3</c:v>
                </c:pt>
                <c:pt idx="20">
                  <c:v>1</c:v>
                </c:pt>
                <c:pt idx="21">
                  <c:v>3</c:v>
                </c:pt>
              </c:numCache>
            </c:numRef>
          </c:val>
          <c:extLst>
            <c:ext xmlns:c16="http://schemas.microsoft.com/office/drawing/2014/chart" uri="{C3380CC4-5D6E-409C-BE32-E72D297353CC}">
              <c16:uniqueId val="{00000001-3F7F-4D1F-AE41-42FC8FBB4D7D}"/>
            </c:ext>
          </c:extLst>
        </c:ser>
        <c:dLbls>
          <c:showLegendKey val="0"/>
          <c:showVal val="0"/>
          <c:showCatName val="0"/>
          <c:showSerName val="0"/>
          <c:showPercent val="0"/>
          <c:showBubbleSize val="0"/>
        </c:dLbls>
        <c:gapWidth val="150"/>
        <c:overlap val="100"/>
        <c:axId val="914857583"/>
        <c:axId val="914858063"/>
      </c:barChart>
      <c:catAx>
        <c:axId val="914857583"/>
        <c:scaling>
          <c:orientation val="minMax"/>
        </c:scaling>
        <c:delete val="0"/>
        <c:axPos val="l"/>
        <c:numFmt formatCode="General"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858063"/>
        <c:crosses val="autoZero"/>
        <c:auto val="1"/>
        <c:lblAlgn val="ctr"/>
        <c:lblOffset val="100"/>
        <c:noMultiLvlLbl val="0"/>
      </c:catAx>
      <c:valAx>
        <c:axId val="91485806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8575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[customerSurveyResult.xlsx]Pivot Table!PivotTable19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FRT vs NPS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Table'!$B$47</c:f>
              <c:strCache>
                <c:ptCount val="1"/>
                <c:pt idx="0">
                  <c:v>Average of Full Resolution Time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Table'!$A$48:$A$50</c:f>
              <c:strCache>
                <c:ptCount val="2"/>
                <c:pt idx="0">
                  <c:v>Site 1</c:v>
                </c:pt>
                <c:pt idx="1">
                  <c:v>Site 2</c:v>
                </c:pt>
              </c:strCache>
            </c:strRef>
          </c:cat>
          <c:val>
            <c:numRef>
              <c:f>'Pivot Table'!$B$48:$B$50</c:f>
              <c:numCache>
                <c:formatCode>0</c:formatCode>
                <c:ptCount val="2"/>
                <c:pt idx="0">
                  <c:v>5215.666666666667</c:v>
                </c:pt>
                <c:pt idx="1">
                  <c:v>8637.2407407407409</c:v>
                </c:pt>
              </c:numCache>
            </c:numRef>
          </c:val>
          <c:extLst>
            <c:ext xmlns:c16="http://schemas.microsoft.com/office/drawing/2014/chart" uri="{C3380CC4-5D6E-409C-BE32-E72D297353CC}">
              <c16:uniqueId val="{00000000-8E13-4379-8985-C4E1CB41A2A6}"/>
            </c:ext>
          </c:extLst>
        </c:ser>
        <c:ser>
          <c:idx val="1"/>
          <c:order val="1"/>
          <c:tx>
            <c:strRef>
              <c:f>'Pivot Table'!$C$47</c:f>
              <c:strCache>
                <c:ptCount val="1"/>
                <c:pt idx="0">
                  <c:v>Average of Net Promoter Score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Table'!$A$48:$A$50</c:f>
              <c:strCache>
                <c:ptCount val="2"/>
                <c:pt idx="0">
                  <c:v>Site 1</c:v>
                </c:pt>
                <c:pt idx="1">
                  <c:v>Site 2</c:v>
                </c:pt>
              </c:strCache>
            </c:strRef>
          </c:cat>
          <c:val>
            <c:numRef>
              <c:f>'Pivot Table'!$C$48:$C$50</c:f>
              <c:numCache>
                <c:formatCode>0.00</c:formatCode>
                <c:ptCount val="2"/>
                <c:pt idx="0">
                  <c:v>39.583333333333336</c:v>
                </c:pt>
                <c:pt idx="1">
                  <c:v>38.888888888888886</c:v>
                </c:pt>
              </c:numCache>
            </c:numRef>
          </c:val>
          <c:extLst>
            <c:ext xmlns:c16="http://schemas.microsoft.com/office/drawing/2014/chart" uri="{C3380CC4-5D6E-409C-BE32-E72D297353CC}">
              <c16:uniqueId val="{00000001-8E13-4379-8985-C4E1CB41A2A6}"/>
            </c:ext>
          </c:extLst>
        </c:ser>
        <c:dLbls>
          <c:dLblPos val="outEnd"/>
          <c:showLegendKey val="0"/>
          <c:showVal val="1"/>
          <c:showCatName val="0"/>
          <c:showSerName val="0"/>
          <c:showPercent val="0"/>
          <c:showBubbleSize val="0"/>
        </c:dLbls>
        <c:gapWidth val="219"/>
        <c:overlap val="-27"/>
        <c:axId val="80144544"/>
        <c:axId val="2066167584"/>
      </c:barChart>
      <c:catAx>
        <c:axId val="8014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167584"/>
        <c:crosses val="autoZero"/>
        <c:auto val="1"/>
        <c:lblAlgn val="ctr"/>
        <c:lblOffset val="100"/>
        <c:noMultiLvlLbl val="0"/>
      </c:catAx>
      <c:valAx>
        <c:axId val="2066167584"/>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80144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[customerSurveyResult.xlsx]Pivot Table!PivotTable1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FRT per Contact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Table'!$A$54:$A$58</c:f>
              <c:strCache>
                <c:ptCount val="4"/>
                <c:pt idx="0">
                  <c:v>Salesforce</c:v>
                </c:pt>
                <c:pt idx="1">
                  <c:v>Email</c:v>
                </c:pt>
                <c:pt idx="2">
                  <c:v>Chat</c:v>
                </c:pt>
                <c:pt idx="3">
                  <c:v>WhatsApp</c:v>
                </c:pt>
              </c:strCache>
            </c:strRef>
          </c:cat>
          <c:val>
            <c:numRef>
              <c:f>'Pivot Table'!$B$54:$B$58</c:f>
              <c:numCache>
                <c:formatCode>0</c:formatCode>
                <c:ptCount val="4"/>
                <c:pt idx="0">
                  <c:v>20845.5</c:v>
                </c:pt>
                <c:pt idx="1">
                  <c:v>10724.190476190477</c:v>
                </c:pt>
                <c:pt idx="2">
                  <c:v>5647.9444444444443</c:v>
                </c:pt>
                <c:pt idx="3">
                  <c:v>969.5454545454545</c:v>
                </c:pt>
              </c:numCache>
            </c:numRef>
          </c:val>
          <c:extLst>
            <c:ext xmlns:c16="http://schemas.microsoft.com/office/drawing/2014/chart" uri="{C3380CC4-5D6E-409C-BE32-E72D297353CC}">
              <c16:uniqueId val="{00000000-A92D-4A28-A9D7-599B080A6B59}"/>
            </c:ext>
          </c:extLst>
        </c:ser>
        <c:dLbls>
          <c:dLblPos val="outEnd"/>
          <c:showLegendKey val="0"/>
          <c:showVal val="1"/>
          <c:showCatName val="0"/>
          <c:showSerName val="0"/>
          <c:showPercent val="0"/>
          <c:showBubbleSize val="0"/>
        </c:dLbls>
        <c:gapWidth val="219"/>
        <c:overlap val="-27"/>
        <c:axId val="79998352"/>
        <c:axId val="79998832"/>
      </c:barChart>
      <c:catAx>
        <c:axId val="79998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Contact Method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98832"/>
        <c:crosses val="autoZero"/>
        <c:auto val="1"/>
        <c:lblAlgn val="ctr"/>
        <c:lblOffset val="100"/>
        <c:noMultiLvlLbl val="0"/>
      </c:catAx>
      <c:valAx>
        <c:axId val="7999883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7999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[customerSurveyResult.xlsx]Pivot Table!PivotTable3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FRT per Driver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Table'!$A$62:$A$74</c:f>
              <c:strCache>
                <c:ptCount val="12"/>
                <c:pt idx="0">
                  <c:v>Experience Management</c:v>
                </c:pt>
                <c:pt idx="1">
                  <c:v>Audio Issues</c:v>
                </c:pt>
                <c:pt idx="2">
                  <c:v>Power Issues</c:v>
                </c:pt>
                <c:pt idx="3">
                  <c:v>Device Usage</c:v>
                </c:pt>
                <c:pt idx="4">
                  <c:v>Tracking and Input</c:v>
                </c:pt>
                <c:pt idx="5">
                  <c:v>Questions</c:v>
                </c:pt>
                <c:pt idx="6">
                  <c:v>Experience Usage</c:v>
                </c:pt>
                <c:pt idx="7">
                  <c:v>Hardware Order</c:v>
                </c:pt>
                <c:pt idx="8">
                  <c:v>Digital Order</c:v>
                </c:pt>
                <c:pt idx="9">
                  <c:v>Display/Visual Issues</c:v>
                </c:pt>
                <c:pt idx="10">
                  <c:v>Parent-Managed Account</c:v>
                </c:pt>
                <c:pt idx="11">
                  <c:v>Meta Account</c:v>
                </c:pt>
              </c:strCache>
            </c:strRef>
          </c:cat>
          <c:val>
            <c:numRef>
              <c:f>'Pivot Table'!$B$62:$B$74</c:f>
              <c:numCache>
                <c:formatCode>0</c:formatCode>
                <c:ptCount val="12"/>
                <c:pt idx="0">
                  <c:v>126</c:v>
                </c:pt>
                <c:pt idx="1">
                  <c:v>261</c:v>
                </c:pt>
                <c:pt idx="2">
                  <c:v>2097</c:v>
                </c:pt>
                <c:pt idx="3">
                  <c:v>3837.25</c:v>
                </c:pt>
                <c:pt idx="4">
                  <c:v>3893.5384615384614</c:v>
                </c:pt>
                <c:pt idx="5">
                  <c:v>4791.666666666667</c:v>
                </c:pt>
                <c:pt idx="6">
                  <c:v>5968.6</c:v>
                </c:pt>
                <c:pt idx="7">
                  <c:v>7206.416666666667</c:v>
                </c:pt>
                <c:pt idx="8">
                  <c:v>7418.5555555555557</c:v>
                </c:pt>
                <c:pt idx="9">
                  <c:v>7646.166666666667</c:v>
                </c:pt>
                <c:pt idx="10">
                  <c:v>18843.5</c:v>
                </c:pt>
                <c:pt idx="11">
                  <c:v>18893.166666666668</c:v>
                </c:pt>
              </c:numCache>
            </c:numRef>
          </c:val>
          <c:extLst>
            <c:ext xmlns:c16="http://schemas.microsoft.com/office/drawing/2014/chart" uri="{C3380CC4-5D6E-409C-BE32-E72D297353CC}">
              <c16:uniqueId val="{00000000-A184-4CCA-8D7E-0E6E9A8D4F29}"/>
            </c:ext>
          </c:extLst>
        </c:ser>
        <c:dLbls>
          <c:dLblPos val="outEnd"/>
          <c:showLegendKey val="0"/>
          <c:showVal val="1"/>
          <c:showCatName val="0"/>
          <c:showSerName val="0"/>
          <c:showPercent val="0"/>
          <c:showBubbleSize val="0"/>
        </c:dLbls>
        <c:gapWidth val="219"/>
        <c:axId val="147073424"/>
        <c:axId val="139392128"/>
      </c:barChart>
      <c:catAx>
        <c:axId val="147073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92128"/>
        <c:crosses val="autoZero"/>
        <c:auto val="1"/>
        <c:lblAlgn val="ctr"/>
        <c:lblOffset val="100"/>
        <c:noMultiLvlLbl val="0"/>
      </c:catAx>
      <c:valAx>
        <c:axId val="139392128"/>
        <c:scaling>
          <c:orientation val="minMax"/>
        </c:scaling>
        <c:delete val="1"/>
        <c:axPos val="b"/>
        <c:numFmt formatCode="0" sourceLinked="1"/>
        <c:majorTickMark val="none"/>
        <c:minorTickMark val="none"/>
        <c:tickLblPos val="nextTo"/>
        <c:crossAx val="147073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10</xdr:col>
      <xdr:colOff>514349</xdr:colOff>
      <xdr:row>10</xdr:row>
      <xdr:rowOff>74612</xdr:rowOff>
    </xdr:from>
    <xdr:to>
      <xdr:col>22</xdr:col>
      <xdr:colOff>393699</xdr:colOff>
      <xdr:row>32</xdr:row>
      <xdr:rowOff>114300</xdr:rowOff>
    </xdr:to>
    <xdr:graphicFrame macro="">
      <xdr:nvGraphicFramePr>
        <xdr:cNvPr id="2" name="Chart 1">
          <a:extLst>
            <a:ext uri="{FF2B5EF4-FFF2-40B4-BE49-F238E27FC236}">
              <a16:creationId xmlns:a16="http://schemas.microsoft.com/office/drawing/2014/main" id="{8601080E-216B-689E-FEFE-7291F9182C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579437</xdr:colOff>
      <xdr:row>4</xdr:row>
      <xdr:rowOff>74612</xdr:rowOff>
    </xdr:from>
    <xdr:to>
      <xdr:col>12</xdr:col>
      <xdr:colOff>274637</xdr:colOff>
      <xdr:row>19</xdr:row>
      <xdr:rowOff>96837</xdr:rowOff>
    </xdr:to>
    <xdr:graphicFrame macro="">
      <xdr:nvGraphicFramePr>
        <xdr:cNvPr id="3" name="Chart 2">
          <a:extLst>
            <a:ext uri="{FF2B5EF4-FFF2-40B4-BE49-F238E27FC236}">
              <a16:creationId xmlns:a16="http://schemas.microsoft.com/office/drawing/2014/main" id="{78127FDC-B0A9-D35E-5D1B-5C1EA9C5AD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609599</xdr:colOff>
      <xdr:row>16</xdr:row>
      <xdr:rowOff>0</xdr:rowOff>
    </xdr:from>
    <xdr:to>
      <xdr:col>9</xdr:col>
      <xdr:colOff>609599</xdr:colOff>
      <xdr:row>31</xdr:row>
      <xdr:rowOff>28575</xdr:rowOff>
    </xdr:to>
    <xdr:graphicFrame macro="">
      <xdr:nvGraphicFramePr>
        <xdr:cNvPr id="2" name="Chart 1">
          <a:extLst>
            <a:ext uri="{FF2B5EF4-FFF2-40B4-BE49-F238E27FC236}">
              <a16:creationId xmlns:a16="http://schemas.microsoft.com/office/drawing/2014/main" id="{BDE94D3A-21F2-4C0A-92CD-6FF1A45C1B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33</xdr:col>
      <xdr:colOff>0</xdr:colOff>
      <xdr:row>8</xdr:row>
      <xdr:rowOff>0</xdr:rowOff>
    </xdr:to>
    <xdr:sp macro="" textlink="">
      <xdr:nvSpPr>
        <xdr:cNvPr id="3" name="Rectangle 2">
          <a:extLst>
            <a:ext uri="{FF2B5EF4-FFF2-40B4-BE49-F238E27FC236}">
              <a16:creationId xmlns:a16="http://schemas.microsoft.com/office/drawing/2014/main" id="{C0E46696-6E11-927F-C843-300FA29AFADA}"/>
            </a:ext>
          </a:extLst>
        </xdr:cNvPr>
        <xdr:cNvSpPr/>
      </xdr:nvSpPr>
      <xdr:spPr>
        <a:xfrm>
          <a:off x="0" y="0"/>
          <a:ext cx="19968882" cy="1434353"/>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5400"/>
            <a:t>Summary Dashboards</a:t>
          </a:r>
        </a:p>
      </xdr:txBody>
    </xdr:sp>
    <xdr:clientData/>
  </xdr:twoCellAnchor>
  <xdr:twoCellAnchor>
    <xdr:from>
      <xdr:col>3</xdr:col>
      <xdr:colOff>0</xdr:colOff>
      <xdr:row>31</xdr:row>
      <xdr:rowOff>0</xdr:rowOff>
    </xdr:from>
    <xdr:to>
      <xdr:col>10</xdr:col>
      <xdr:colOff>0</xdr:colOff>
      <xdr:row>46</xdr:row>
      <xdr:rowOff>0</xdr:rowOff>
    </xdr:to>
    <xdr:graphicFrame macro="">
      <xdr:nvGraphicFramePr>
        <xdr:cNvPr id="4" name="Chart 3">
          <a:extLst>
            <a:ext uri="{FF2B5EF4-FFF2-40B4-BE49-F238E27FC236}">
              <a16:creationId xmlns:a16="http://schemas.microsoft.com/office/drawing/2014/main" id="{9DD68C00-491C-4459-BEA2-976819AE75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609599</xdr:colOff>
      <xdr:row>16</xdr:row>
      <xdr:rowOff>0</xdr:rowOff>
    </xdr:from>
    <xdr:to>
      <xdr:col>16</xdr:col>
      <xdr:colOff>609599</xdr:colOff>
      <xdr:row>46</xdr:row>
      <xdr:rowOff>0</xdr:rowOff>
    </xdr:to>
    <xdr:graphicFrame macro="">
      <xdr:nvGraphicFramePr>
        <xdr:cNvPr id="5" name="Chart 4">
          <a:extLst>
            <a:ext uri="{FF2B5EF4-FFF2-40B4-BE49-F238E27FC236}">
              <a16:creationId xmlns:a16="http://schemas.microsoft.com/office/drawing/2014/main" id="{197451EB-CE2F-46EA-9CC1-EB99987440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32</xdr:row>
      <xdr:rowOff>0</xdr:rowOff>
    </xdr:from>
    <xdr:to>
      <xdr:col>3</xdr:col>
      <xdr:colOff>0</xdr:colOff>
      <xdr:row>46</xdr:row>
      <xdr:rowOff>0</xdr:rowOff>
    </xdr:to>
    <mc:AlternateContent xmlns:mc="http://schemas.openxmlformats.org/markup-compatibility/2006" xmlns:a14="http://schemas.microsoft.com/office/drawing/2010/main">
      <mc:Choice Requires="a14">
        <xdr:graphicFrame macro="">
          <xdr:nvGraphicFramePr>
            <xdr:cNvPr id="6" name="Survey">
              <a:extLst>
                <a:ext uri="{FF2B5EF4-FFF2-40B4-BE49-F238E27FC236}">
                  <a16:creationId xmlns:a16="http://schemas.microsoft.com/office/drawing/2014/main" id="{97F9C71A-0CBA-D004-97E2-57775B0EFC89}"/>
                </a:ext>
              </a:extLst>
            </xdr:cNvPr>
            <xdr:cNvGraphicFramePr/>
          </xdr:nvGraphicFramePr>
          <xdr:xfrm>
            <a:off x="0" y="0"/>
            <a:ext cx="0" cy="0"/>
          </xdr:xfrm>
          <a:graphic>
            <a:graphicData uri="http://schemas.microsoft.com/office/drawing/2010/slicer">
              <sle:slicer xmlns:sle="http://schemas.microsoft.com/office/drawing/2010/slicer" name="Survey"/>
            </a:graphicData>
          </a:graphic>
        </xdr:graphicFrame>
      </mc:Choice>
      <mc:Fallback xmlns="">
        <xdr:sp macro="" textlink="">
          <xdr:nvSpPr>
            <xdr:cNvPr id="0" name=""/>
            <xdr:cNvSpPr>
              <a:spLocks noTextEdit="1"/>
            </xdr:cNvSpPr>
          </xdr:nvSpPr>
          <xdr:spPr>
            <a:xfrm>
              <a:off x="0" y="5737412"/>
              <a:ext cx="1815353" cy="25101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0</xdr:rowOff>
    </xdr:from>
    <xdr:to>
      <xdr:col>3</xdr:col>
      <xdr:colOff>0</xdr:colOff>
      <xdr:row>26</xdr:row>
      <xdr:rowOff>0</xdr:rowOff>
    </xdr:to>
    <mc:AlternateContent xmlns:mc="http://schemas.openxmlformats.org/markup-compatibility/2006" xmlns:a14="http://schemas.microsoft.com/office/drawing/2010/main">
      <mc:Choice Requires="a14">
        <xdr:graphicFrame macro="">
          <xdr:nvGraphicFramePr>
            <xdr:cNvPr id="7" name="Contact Method">
              <a:extLst>
                <a:ext uri="{FF2B5EF4-FFF2-40B4-BE49-F238E27FC236}">
                  <a16:creationId xmlns:a16="http://schemas.microsoft.com/office/drawing/2014/main" id="{C4FBB882-0132-AC05-848D-0FECE602D720}"/>
                </a:ext>
              </a:extLst>
            </xdr:cNvPr>
            <xdr:cNvGraphicFramePr/>
          </xdr:nvGraphicFramePr>
          <xdr:xfrm>
            <a:off x="0" y="0"/>
            <a:ext cx="0" cy="0"/>
          </xdr:xfrm>
          <a:graphic>
            <a:graphicData uri="http://schemas.microsoft.com/office/drawing/2010/slicer">
              <sle:slicer xmlns:sle="http://schemas.microsoft.com/office/drawing/2010/slicer" name="Contact Method"/>
            </a:graphicData>
          </a:graphic>
        </xdr:graphicFrame>
      </mc:Choice>
      <mc:Fallback xmlns="">
        <xdr:sp macro="" textlink="">
          <xdr:nvSpPr>
            <xdr:cNvPr id="0" name=""/>
            <xdr:cNvSpPr>
              <a:spLocks noTextEdit="1"/>
            </xdr:cNvSpPr>
          </xdr:nvSpPr>
          <xdr:spPr>
            <a:xfrm>
              <a:off x="0" y="3585882"/>
              <a:ext cx="1815353" cy="10757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2</xdr:rowOff>
    </xdr:from>
    <xdr:to>
      <xdr:col>3</xdr:col>
      <xdr:colOff>0</xdr:colOff>
      <xdr:row>20</xdr:row>
      <xdr:rowOff>0</xdr:rowOff>
    </xdr:to>
    <mc:AlternateContent xmlns:mc="http://schemas.openxmlformats.org/markup-compatibility/2006" xmlns:a14="http://schemas.microsoft.com/office/drawing/2010/main">
      <mc:Choice Requires="a14">
        <xdr:graphicFrame macro="">
          <xdr:nvGraphicFramePr>
            <xdr:cNvPr id="8" name="Location Name ">
              <a:extLst>
                <a:ext uri="{FF2B5EF4-FFF2-40B4-BE49-F238E27FC236}">
                  <a16:creationId xmlns:a16="http://schemas.microsoft.com/office/drawing/2014/main" id="{BAF03D32-2FD9-1544-672C-328FD3B9B16B}"/>
                </a:ext>
              </a:extLst>
            </xdr:cNvPr>
            <xdr:cNvGraphicFramePr/>
          </xdr:nvGraphicFramePr>
          <xdr:xfrm>
            <a:off x="0" y="0"/>
            <a:ext cx="0" cy="0"/>
          </xdr:xfrm>
          <a:graphic>
            <a:graphicData uri="http://schemas.microsoft.com/office/drawing/2010/slicer">
              <sle:slicer xmlns:sle="http://schemas.microsoft.com/office/drawing/2010/slicer" name="Location Name "/>
            </a:graphicData>
          </a:graphic>
        </xdr:graphicFrame>
      </mc:Choice>
      <mc:Fallback xmlns="">
        <xdr:sp macro="" textlink="">
          <xdr:nvSpPr>
            <xdr:cNvPr id="0" name=""/>
            <xdr:cNvSpPr>
              <a:spLocks noTextEdit="1"/>
            </xdr:cNvSpPr>
          </xdr:nvSpPr>
          <xdr:spPr>
            <a:xfrm>
              <a:off x="0" y="2868708"/>
              <a:ext cx="1815353" cy="717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0</xdr:rowOff>
    </xdr:from>
    <xdr:to>
      <xdr:col>3</xdr:col>
      <xdr:colOff>0</xdr:colOff>
      <xdr:row>32</xdr:row>
      <xdr:rowOff>3174</xdr:rowOff>
    </xdr:to>
    <mc:AlternateContent xmlns:mc="http://schemas.openxmlformats.org/markup-compatibility/2006" xmlns:a14="http://schemas.microsoft.com/office/drawing/2010/main">
      <mc:Choice Requires="a14">
        <xdr:graphicFrame macro="">
          <xdr:nvGraphicFramePr>
            <xdr:cNvPr id="9" name="Solved Status">
              <a:extLst>
                <a:ext uri="{FF2B5EF4-FFF2-40B4-BE49-F238E27FC236}">
                  <a16:creationId xmlns:a16="http://schemas.microsoft.com/office/drawing/2014/main" id="{98AB1267-5DA9-7928-2259-B671B9DB5531}"/>
                </a:ext>
              </a:extLst>
            </xdr:cNvPr>
            <xdr:cNvGraphicFramePr/>
          </xdr:nvGraphicFramePr>
          <xdr:xfrm>
            <a:off x="0" y="0"/>
            <a:ext cx="0" cy="0"/>
          </xdr:xfrm>
          <a:graphic>
            <a:graphicData uri="http://schemas.microsoft.com/office/drawing/2010/slicer">
              <sle:slicer xmlns:sle="http://schemas.microsoft.com/office/drawing/2010/slicer" name="Solved Status"/>
            </a:graphicData>
          </a:graphic>
        </xdr:graphicFrame>
      </mc:Choice>
      <mc:Fallback xmlns="">
        <xdr:sp macro="" textlink="">
          <xdr:nvSpPr>
            <xdr:cNvPr id="0" name=""/>
            <xdr:cNvSpPr>
              <a:spLocks noTextEdit="1"/>
            </xdr:cNvSpPr>
          </xdr:nvSpPr>
          <xdr:spPr>
            <a:xfrm>
              <a:off x="0" y="4661647"/>
              <a:ext cx="1815353" cy="10789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0</xdr:rowOff>
    </xdr:from>
    <xdr:to>
      <xdr:col>17</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10" name="Response Date">
              <a:extLst>
                <a:ext uri="{FF2B5EF4-FFF2-40B4-BE49-F238E27FC236}">
                  <a16:creationId xmlns:a16="http://schemas.microsoft.com/office/drawing/2014/main" id="{8D200CE0-06B1-1454-4792-BF1F66CD732A}"/>
                </a:ext>
              </a:extLst>
            </xdr:cNvPr>
            <xdr:cNvGraphicFramePr/>
          </xdr:nvGraphicFramePr>
          <xdr:xfrm>
            <a:off x="0" y="0"/>
            <a:ext cx="0" cy="0"/>
          </xdr:xfrm>
          <a:graphic>
            <a:graphicData uri="http://schemas.microsoft.com/office/drawing/2012/timeslicer">
              <tsle:timeslicer name="Response Date"/>
            </a:graphicData>
          </a:graphic>
        </xdr:graphicFrame>
      </mc:Choice>
      <mc:Fallback xmlns="">
        <xdr:sp macro="" textlink="">
          <xdr:nvSpPr>
            <xdr:cNvPr id="0" name=""/>
            <xdr:cNvSpPr>
              <a:spLocks noTextEdit="1"/>
            </xdr:cNvSpPr>
          </xdr:nvSpPr>
          <xdr:spPr>
            <a:xfrm>
              <a:off x="0" y="1434353"/>
              <a:ext cx="10287000" cy="143435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297702</xdr:colOff>
      <xdr:row>47</xdr:row>
      <xdr:rowOff>0</xdr:rowOff>
    </xdr:from>
    <xdr:to>
      <xdr:col>14</xdr:col>
      <xdr:colOff>0</xdr:colOff>
      <xdr:row>56</xdr:row>
      <xdr:rowOff>44824</xdr:rowOff>
    </xdr:to>
    <xdr:sp macro="" textlink="">
      <xdr:nvSpPr>
        <xdr:cNvPr id="11" name="Rectangle: Rounded Corners 10">
          <a:extLst>
            <a:ext uri="{FF2B5EF4-FFF2-40B4-BE49-F238E27FC236}">
              <a16:creationId xmlns:a16="http://schemas.microsoft.com/office/drawing/2014/main" id="{1735FE62-CB0B-89B5-1DF6-BF7EF92FEA61}"/>
            </a:ext>
          </a:extLst>
        </xdr:cNvPr>
        <xdr:cNvSpPr/>
      </xdr:nvSpPr>
      <xdr:spPr>
        <a:xfrm>
          <a:off x="297702" y="8313964"/>
          <a:ext cx="8274798" cy="16368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INSIGHTS:</a:t>
          </a:r>
        </a:p>
        <a:p>
          <a:pPr algn="l"/>
          <a:endParaRPr lang="en-US" sz="1100"/>
        </a:p>
        <a:p>
          <a:pPr marL="0" marR="0" lvl="0" indent="0" algn="l" defTabSz="914400" eaLnBrk="1" fontAlgn="auto" latinLnBrk="0" hangingPunct="1">
            <a:lnSpc>
              <a:spcPct val="100000"/>
            </a:lnSpc>
            <a:spcBef>
              <a:spcPts val="0"/>
            </a:spcBef>
            <a:spcAft>
              <a:spcPts val="0"/>
            </a:spcAft>
            <a:buClrTx/>
            <a:buSzTx/>
            <a:buFontTx/>
            <a:buNone/>
            <a:tabLst/>
            <a:defRPr/>
          </a:pPr>
          <a:r>
            <a:rPr lang="en-US" sz="1100"/>
            <a:t>1.</a:t>
          </a:r>
          <a:r>
            <a:rPr lang="en-US" sz="1100" baseline="0"/>
            <a:t> </a:t>
          </a:r>
          <a:r>
            <a:rPr lang="en-US"/>
            <a:t>While Site 1 and Site 2 have comparable NPS (39.58 vs 38.89), Site 2 handles a higher volume of surveys (54 vs 48) but shows significantly higher FRT levels, suggesting a need to scale Site 1’s efficiency workflows to Site 2.</a:t>
          </a:r>
          <a:endParaRPr lang="en-US" sz="1100" baseline="0"/>
        </a:p>
        <a:p>
          <a:pPr algn="l"/>
          <a:r>
            <a:rPr lang="en-US" sz="1100" baseline="0"/>
            <a:t>2. </a:t>
          </a:r>
          <a:r>
            <a:rPr lang="en-US"/>
            <a:t>WhatsApp is currently the highest-performing channel, achieving the lowest Full Resolution Time (FRT) of 970 while simultaneously driving superior NPS results at Site 1.</a:t>
          </a:r>
        </a:p>
        <a:p>
          <a:pPr algn="l"/>
          <a:r>
            <a:rPr lang="en-US" sz="1100"/>
            <a:t>3. </a:t>
          </a:r>
          <a:r>
            <a:rPr lang="en-US"/>
            <a:t>Experience Usage" and "Meta Account" issues are major detractors, as they represent the highest FRT per Driver—both exceeding 18,000—indicating these complex issues significantly delay resolution for customers.</a:t>
          </a:r>
          <a:endParaRPr lang="en-US" sz="1100"/>
        </a:p>
      </xdr:txBody>
    </xdr:sp>
    <xdr:clientData/>
  </xdr:twoCellAnchor>
  <xdr:twoCellAnchor>
    <xdr:from>
      <xdr:col>17</xdr:col>
      <xdr:colOff>0</xdr:colOff>
      <xdr:row>8</xdr:row>
      <xdr:rowOff>0</xdr:rowOff>
    </xdr:from>
    <xdr:to>
      <xdr:col>25</xdr:col>
      <xdr:colOff>0</xdr:colOff>
      <xdr:row>27</xdr:row>
      <xdr:rowOff>0</xdr:rowOff>
    </xdr:to>
    <xdr:graphicFrame macro="">
      <xdr:nvGraphicFramePr>
        <xdr:cNvPr id="12" name="Chart 11">
          <a:extLst>
            <a:ext uri="{FF2B5EF4-FFF2-40B4-BE49-F238E27FC236}">
              <a16:creationId xmlns:a16="http://schemas.microsoft.com/office/drawing/2014/main" id="{06BBD457-DCD4-4E82-8619-B03159C7C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0</xdr:colOff>
      <xdr:row>27</xdr:row>
      <xdr:rowOff>0</xdr:rowOff>
    </xdr:from>
    <xdr:to>
      <xdr:col>25</xdr:col>
      <xdr:colOff>0</xdr:colOff>
      <xdr:row>46</xdr:row>
      <xdr:rowOff>1</xdr:rowOff>
    </xdr:to>
    <xdr:graphicFrame macro="">
      <xdr:nvGraphicFramePr>
        <xdr:cNvPr id="14" name="Chart 13">
          <a:extLst>
            <a:ext uri="{FF2B5EF4-FFF2-40B4-BE49-F238E27FC236}">
              <a16:creationId xmlns:a16="http://schemas.microsoft.com/office/drawing/2014/main" id="{FB01CF0C-484E-4342-B747-DFA66924A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598766</xdr:colOff>
      <xdr:row>8</xdr:row>
      <xdr:rowOff>0</xdr:rowOff>
    </xdr:from>
    <xdr:to>
      <xdr:col>32</xdr:col>
      <xdr:colOff>598766</xdr:colOff>
      <xdr:row>46</xdr:row>
      <xdr:rowOff>0</xdr:rowOff>
    </xdr:to>
    <xdr:graphicFrame macro="">
      <xdr:nvGraphicFramePr>
        <xdr:cNvPr id="15" name="Chart 14">
          <a:extLst>
            <a:ext uri="{FF2B5EF4-FFF2-40B4-BE49-F238E27FC236}">
              <a16:creationId xmlns:a16="http://schemas.microsoft.com/office/drawing/2014/main" id="{3EA26D60-ECDF-4842-8219-3B2292C70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256054</xdr:colOff>
      <xdr:row>47</xdr:row>
      <xdr:rowOff>0</xdr:rowOff>
    </xdr:from>
    <xdr:to>
      <xdr:col>33</xdr:col>
      <xdr:colOff>0</xdr:colOff>
      <xdr:row>52</xdr:row>
      <xdr:rowOff>0</xdr:rowOff>
    </xdr:to>
    <xdr:sp macro="" textlink="">
      <xdr:nvSpPr>
        <xdr:cNvPr id="17" name="Rectangle: Rounded Corners 16">
          <a:extLst>
            <a:ext uri="{FF2B5EF4-FFF2-40B4-BE49-F238E27FC236}">
              <a16:creationId xmlns:a16="http://schemas.microsoft.com/office/drawing/2014/main" id="{64BC72B4-8F6B-711D-2BB2-0AF06B90075F}"/>
            </a:ext>
          </a:extLst>
        </xdr:cNvPr>
        <xdr:cNvSpPr/>
      </xdr:nvSpPr>
      <xdr:spPr>
        <a:xfrm>
          <a:off x="14173760" y="8426824"/>
          <a:ext cx="5795122" cy="89647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1" u="none" strike="noStrike">
              <a:solidFill>
                <a:schemeClr val="lt1"/>
              </a:solidFill>
              <a:effectLst/>
              <a:latin typeface="+mn-lt"/>
              <a:ea typeface="+mn-ea"/>
              <a:cs typeface="+mn-cs"/>
            </a:rPr>
            <a:t>Data Quality: To ensure data integrity, I implemented an automated outlier detection system for Full Time Resolution (FRT). By calculating the mean and standard deviation, I was able to categorize cases as 'Normal' or 'Outlier', allowing for a more accurate representation of agent performance without being skewed by extreme technical edge cases.</a:t>
          </a:r>
          <a:r>
            <a:rPr lang="en-US">
              <a:effectLst/>
            </a:rPr>
            <a:t> </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Caballero" refreshedDate="46056.181173032404" createdVersion="8" refreshedVersion="8" minRefreshableVersion="3" recordCount="102" xr:uid="{99142061-FFF6-4207-90D8-D3EED2F83BD8}">
  <cacheSource type="worksheet">
    <worksheetSource name="survey_data"/>
  </cacheSource>
  <cacheFields count="34">
    <cacheField name="Case ID" numFmtId="0">
      <sharedItems containsSemiMixedTypes="0" containsString="0" containsNumber="1" containsInteger="1" minValue="20125106" maxValue="20164244"/>
    </cacheField>
    <cacheField name="Creation Date" numFmtId="164">
      <sharedItems containsSemiMixedTypes="0" containsNonDate="0" containsDate="1" containsString="0" minDate="2026-01-26T09:04:33" maxDate="2026-02-02T09:07:16"/>
    </cacheField>
    <cacheField name="Response Date" numFmtId="164">
      <sharedItems containsSemiMixedTypes="0" containsNonDate="0" containsDate="1" containsString="0" minDate="2026-02-01T00:44:43" maxDate="2026-02-02T09:48:29" count="101">
        <d v="2026-02-02T09:48:29"/>
        <d v="2026-02-02T09:41:18"/>
        <d v="2026-02-02T09:39:51"/>
        <d v="2026-02-02T09:38:52"/>
        <d v="2026-02-02T09:36:46"/>
        <d v="2026-02-02T09:30:52"/>
        <d v="2026-02-02T09:29:21"/>
        <d v="2026-02-02T09:27:19"/>
        <d v="2026-02-02T09:25:34"/>
        <d v="2026-02-02T09:25:11"/>
        <d v="2026-02-02T09:25:10"/>
        <d v="2026-02-02T09:22:42"/>
        <d v="2026-02-02T09:17:31"/>
        <d v="2026-02-02T09:14:36"/>
        <d v="2026-02-02T09:11:46"/>
        <d v="2026-02-02T09:11:33"/>
        <d v="2026-02-02T09:11:19"/>
        <d v="2026-02-02T09:07:54"/>
        <d v="2026-02-02T09:07:21"/>
        <d v="2026-02-02T07:52:22"/>
        <d v="2026-02-02T07:34:28"/>
        <d v="2026-02-02T05:56:10"/>
        <d v="2026-02-02T05:52:47"/>
        <d v="2026-02-02T05:43:39"/>
        <d v="2026-02-02T05:25:50"/>
        <d v="2026-02-02T05:22:37"/>
        <d v="2026-02-02T04:58:23"/>
        <d v="2026-02-02T04:33:56"/>
        <d v="2026-02-02T03:11:06"/>
        <d v="2026-02-02T02:57:22"/>
        <d v="2026-02-02T02:20:49"/>
        <d v="2026-02-02T01:31:41"/>
        <d v="2026-02-02T00:40:02"/>
        <d v="2026-02-01T23:47:35"/>
        <d v="2026-02-01T23:03:16"/>
        <d v="2026-02-01T21:54:49"/>
        <d v="2026-02-01T21:49:07"/>
        <d v="2026-02-01T21:49:00"/>
        <d v="2026-02-01T21:13:01"/>
        <d v="2026-02-01T21:03:05"/>
        <d v="2026-02-01T20:43:15"/>
        <d v="2026-02-01T19:46:50"/>
        <d v="2026-02-01T18:52:03"/>
        <d v="2026-02-01T18:33:35"/>
        <d v="2026-02-01T18:09:30"/>
        <d v="2026-02-01T18:09:27"/>
        <d v="2026-02-01T18:03:27"/>
        <d v="2026-02-01T18:02:08"/>
        <d v="2026-02-01T17:59:40"/>
        <d v="2026-02-01T17:11:35"/>
        <d v="2026-02-01T17:06:17"/>
        <d v="2026-02-01T16:59:40"/>
        <d v="2026-02-01T16:20:31"/>
        <d v="2026-02-01T15:58:18"/>
        <d v="2026-02-01T15:45:03"/>
        <d v="2026-02-01T15:02:19"/>
        <d v="2026-02-01T13:56:03"/>
        <d v="2026-02-01T13:04:43"/>
        <d v="2026-02-01T12:34:12"/>
        <d v="2026-02-01T11:55:47"/>
        <d v="2026-02-01T11:20:19"/>
        <d v="2026-02-01T11:06:34"/>
        <d v="2026-02-01T11:06:08"/>
        <d v="2026-02-01T11:02:31"/>
        <d v="2026-02-01T10:51:14"/>
        <d v="2026-02-01T10:48:06"/>
        <d v="2026-02-01T10:24:41"/>
        <d v="2026-02-01T10:24:24"/>
        <d v="2026-02-01T10:18:08"/>
        <d v="2026-02-01T10:14:22"/>
        <d v="2026-02-01T09:54:32"/>
        <d v="2026-02-01T09:52:07"/>
        <d v="2026-02-01T09:49:31"/>
        <d v="2026-02-01T09:38:52"/>
        <d v="2026-02-01T09:34:33"/>
        <d v="2026-02-01T09:22:46"/>
        <d v="2026-02-01T09:19:24"/>
        <d v="2026-02-01T09:17:53"/>
        <d v="2026-02-01T09:14:01"/>
        <d v="2026-02-01T09:12:12"/>
        <d v="2026-02-01T09:11:59"/>
        <d v="2026-02-01T09:11:35"/>
        <d v="2026-02-01T09:09:50"/>
        <d v="2026-02-01T09:05:55"/>
        <d v="2026-02-01T09:05:23"/>
        <d v="2026-02-01T09:05:19"/>
        <d v="2026-02-01T09:05:03"/>
        <d v="2026-02-01T09:03:15"/>
        <d v="2026-02-01T08:58:41"/>
        <d v="2026-02-01T08:42:27"/>
        <d v="2026-02-01T08:16:27"/>
        <d v="2026-02-01T07:40:26"/>
        <d v="2026-02-01T07:16:51"/>
        <d v="2026-02-01T06:42:54"/>
        <d v="2026-02-01T06:11:47"/>
        <d v="2026-02-01T06:05:16"/>
        <d v="2026-02-01T05:46:40"/>
        <d v="2026-02-01T04:59:31"/>
        <d v="2026-02-01T03:47:34"/>
        <d v="2026-02-01T01:15:57"/>
        <d v="2026-02-01T00:44:43"/>
      </sharedItems>
    </cacheField>
    <cacheField name="Survey" numFmtId="164">
      <sharedItems count="3">
        <s v="Detractor"/>
        <s v="Promoter"/>
        <s v="Passive"/>
      </sharedItems>
    </cacheField>
    <cacheField name="Net Promoter Score" numFmtId="1">
      <sharedItems containsSemiMixedTypes="0" containsString="0" containsNumber="1" containsInteger="1" minValue="-100" maxValue="100"/>
    </cacheField>
    <cacheField name="Likelihood to Recommend" numFmtId="0">
      <sharedItems containsSemiMixedTypes="0" containsString="0" containsNumber="1" containsInteger="1" minValue="0" maxValue="10"/>
    </cacheField>
    <cacheField name="Ticket Solved Date" numFmtId="164">
      <sharedItems containsSemiMixedTypes="0" containsNonDate="0" containsDate="1" containsString="0" minDate="2026-01-25T23:54:29" maxDate="2026-02-02T16:57:22"/>
    </cacheField>
    <cacheField name="Language" numFmtId="0">
      <sharedItems/>
    </cacheField>
    <cacheField name="Brand" numFmtId="0">
      <sharedItems/>
    </cacheField>
    <cacheField name="Contact Method" numFmtId="0">
      <sharedItems count="4">
        <s v="Salesforce"/>
        <s v="Chat"/>
        <s v="Email"/>
        <s v="WhatsApp"/>
      </sharedItems>
    </cacheField>
    <cacheField name="Agent Resolution Reason 1" numFmtId="0">
      <sharedItems count="12">
        <s v="Hardware Order"/>
        <s v="Tracking and Input"/>
        <s v="Meta Account"/>
        <s v="Digital Order"/>
        <s v="Display/Visual Issues"/>
        <s v="Device Usage"/>
        <s v="Parent-Managed Account"/>
        <s v="Experience Usage"/>
        <s v="Questions"/>
        <s v="Power Issues"/>
        <s v="Experience Management"/>
        <s v="Audio Issues"/>
      </sharedItems>
    </cacheField>
    <cacheField name="FCR" numFmtId="0">
      <sharedItems/>
    </cacheField>
    <cacheField name="Ticket Handling Time" numFmtId="0">
      <sharedItems containsSemiMixedTypes="0" containsString="0" containsNumber="1" containsInteger="1" minValue="0" maxValue="2130"/>
    </cacheField>
    <cacheField name="Full Resolution Time" numFmtId="1">
      <sharedItems containsSemiMixedTypes="0" containsString="0" containsNumber="1" containsInteger="1" minValue="6" maxValue="52721"/>
    </cacheField>
    <cacheField name="FRT Is Outlier? " numFmtId="1">
      <sharedItems/>
    </cacheField>
    <cacheField name="Lower Bound" numFmtId="1">
      <sharedItems containsSemiMixedTypes="0" containsString="0" containsNumber="1" minValue="70.5" maxValue="70.5"/>
    </cacheField>
    <cacheField name="Satisfaction with the overall support experience (CSAT)" numFmtId="0">
      <sharedItems containsSemiMixedTypes="0" containsString="0" containsNumber="1" containsInteger="1" minValue="0" maxValue="10"/>
    </cacheField>
    <cacheField name="Overall Satisfaction with Agent (ASAT)" numFmtId="0">
      <sharedItems containsMixedTypes="1" containsNumber="1" containsInteger="1" minValue="0" maxValue="10"/>
    </cacheField>
    <cacheField name="Professionalism" numFmtId="0">
      <sharedItems containsMixedTypes="1" containsNumber="1" containsInteger="1" minValue="0" maxValue="10"/>
    </cacheField>
    <cacheField name="Knowledge" numFmtId="0">
      <sharedItems containsMixedTypes="1" containsNumber="1" containsInteger="1" minValue="0" maxValue="10"/>
    </cacheField>
    <cacheField name="Communicating Clearly" numFmtId="0">
      <sharedItems containsSemiMixedTypes="0" containsString="0" containsNumber="1" containsInteger="1" minValue="0" maxValue="10"/>
    </cacheField>
    <cacheField name="Understanding Needs" numFmtId="0">
      <sharedItems containsMixedTypes="1" containsNumber="1" containsInteger="1" minValue="0" maxValue="10"/>
    </cacheField>
    <cacheField name="Helpfulness" numFmtId="0">
      <sharedItems containsSemiMixedTypes="0" containsString="0" containsNumber="1" containsInteger="1" minValue="0" maxValue="10"/>
    </cacheField>
    <cacheField name="Customer Effort Score (CES - Post Support)" numFmtId="0">
      <sharedItems containsSemiMixedTypes="0" containsString="0" containsNumber="1" containsInteger="1" minValue="0" maxValue="10"/>
    </cacheField>
    <cacheField name="Satisfaction with Resolution Time" numFmtId="0">
      <sharedItems containsSemiMixedTypes="0" containsString="0" containsNumber="1" containsInteger="1" minValue="0" maxValue="10"/>
    </cacheField>
    <cacheField name="Inquiry Resolved" numFmtId="0">
      <sharedItems containsBlank="1"/>
    </cacheField>
    <cacheField name="Agent Alias" numFmtId="0">
      <sharedItems/>
    </cacheField>
    <cacheField name="Agent Start Date" numFmtId="0">
      <sharedItems/>
    </cacheField>
    <cacheField name="Clean Agent Start Date " numFmtId="164">
      <sharedItems/>
    </cacheField>
    <cacheField name="Agent Type" numFmtId="0">
      <sharedItems/>
    </cacheField>
    <cacheField name="Location Name " numFmtId="0">
      <sharedItems count="2">
        <s v="Site 2"/>
        <s v="Site 1"/>
      </sharedItems>
    </cacheField>
    <cacheField name="Solved Status" numFmtId="0">
      <sharedItems count="2">
        <s v="Solved by Agent"/>
        <s v="Solved by Pending"/>
      </sharedItems>
    </cacheField>
    <cacheField name="Facebook Survey Type" numFmtId="0">
      <sharedItems/>
    </cacheField>
    <cacheField name="Resolution Tag" numFmtId="0">
      <sharedItems/>
    </cacheField>
  </cacheFields>
  <extLst>
    <ext xmlns:x14="http://schemas.microsoft.com/office/spreadsheetml/2009/9/main" uri="{725AE2AE-9491-48be-B2B4-4EB974FC3084}">
      <x14:pivotCacheDefinition pivotCacheId="7096992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
  <r>
    <n v="20142096"/>
    <d v="2026-01-29T09:05:42"/>
    <x v="0"/>
    <x v="0"/>
    <n v="-100"/>
    <n v="2"/>
    <d v="2026-01-28T21:24:44"/>
    <s v="English"/>
    <s v="Meta Quest"/>
    <x v="0"/>
    <x v="0"/>
    <s v="No"/>
    <n v="367"/>
    <n v="12935"/>
    <s v="Normal"/>
    <n v="70.5"/>
    <n v="2"/>
    <s v="N/A"/>
    <s v="N/A"/>
    <s v="N/A"/>
    <n v="1"/>
    <n v="1"/>
    <n v="1"/>
    <n v="0"/>
    <n v="0"/>
    <s v="Yes - Outcome Not Satisfied"/>
    <s v="Jathniel"/>
    <s v="2020-10-05 00:00:00"/>
    <s v="05-Oct-2020"/>
    <s v="T2"/>
    <x v="0"/>
    <x v="0"/>
    <s v="Assisted Support"/>
    <s v="Escalated"/>
  </r>
  <r>
    <n v="20142028"/>
    <d v="2026-01-29T09:05:23"/>
    <x v="1"/>
    <x v="1"/>
    <n v="100"/>
    <n v="10"/>
    <d v="2026-01-29T01:45:56"/>
    <s v="English"/>
    <s v="Rayban"/>
    <x v="1"/>
    <x v="0"/>
    <s v="No"/>
    <n v="622"/>
    <n v="12042"/>
    <s v="Normal"/>
    <n v="70.5"/>
    <n v="10"/>
    <n v="8"/>
    <n v="8"/>
    <n v="8"/>
    <n v="8"/>
    <n v="8"/>
    <n v="8"/>
    <n v="7"/>
    <n v="6"/>
    <s v="Yes - Outcome Satisfied"/>
    <s v="Rawan"/>
    <s v="2024-11-18 00:00:00"/>
    <s v="18-Nov-2024"/>
    <s v="T1"/>
    <x v="0"/>
    <x v="0"/>
    <s v="Assisted Support"/>
    <s v="Created RMA"/>
  </r>
  <r>
    <n v="20147870"/>
    <d v="2026-01-30T09:05:53"/>
    <x v="2"/>
    <x v="1"/>
    <n v="100"/>
    <n v="10"/>
    <d v="2026-01-30T00:34:08"/>
    <s v="Japanese"/>
    <s v="Meta Quest"/>
    <x v="2"/>
    <x v="1"/>
    <s v="No"/>
    <n v="492"/>
    <n v="1896"/>
    <s v="Normal"/>
    <n v="70.5"/>
    <n v="10"/>
    <n v="10"/>
    <n v="10"/>
    <n v="10"/>
    <n v="10"/>
    <n v="10"/>
    <n v="10"/>
    <n v="10"/>
    <n v="10"/>
    <s v="Yes - Outcome Satisfied"/>
    <s v="水谷"/>
    <s v="2020-11-02 00:00:00"/>
    <s v="02-Nov-2020"/>
    <s v="T1"/>
    <x v="0"/>
    <x v="0"/>
    <s v="Assisted Support"/>
    <s v="Created RMA"/>
  </r>
  <r>
    <n v="20164132"/>
    <d v="2026-02-02T09:06:43"/>
    <x v="3"/>
    <x v="1"/>
    <n v="100"/>
    <n v="10"/>
    <d v="2026-02-02T13:13:17"/>
    <s v="English (United Kingdom)"/>
    <s v="Meta Quest"/>
    <x v="2"/>
    <x v="0"/>
    <s v="No"/>
    <n v="435"/>
    <n v="736"/>
    <s v="Normal"/>
    <n v="70.5"/>
    <n v="10"/>
    <n v="10"/>
    <n v="10"/>
    <n v="10"/>
    <n v="10"/>
    <n v="10"/>
    <n v="10"/>
    <n v="10"/>
    <n v="10"/>
    <s v="Yes - Outcome Satisfied"/>
    <s v="Jc"/>
    <s v="2024-09-29 00:00:00"/>
    <s v="29-Sep-2024"/>
    <s v="T1"/>
    <x v="0"/>
    <x v="0"/>
    <s v="Assisted Support"/>
    <s v="Offered Credit"/>
  </r>
  <r>
    <n v="20163601"/>
    <d v="2026-02-02T09:04:22"/>
    <x v="4"/>
    <x v="1"/>
    <n v="100"/>
    <n v="9"/>
    <d v="2026-02-02T16:57:22"/>
    <s v="English"/>
    <s v="Rayban"/>
    <x v="1"/>
    <x v="0"/>
    <s v="Yes"/>
    <n v="9"/>
    <n v="7112"/>
    <s v="Normal"/>
    <n v="70.5"/>
    <n v="10"/>
    <n v="10"/>
    <n v="10"/>
    <n v="10"/>
    <n v="10"/>
    <n v="10"/>
    <n v="10"/>
    <n v="9"/>
    <n v="5"/>
    <s v="Yes - Outcome Satisfied"/>
    <s v="Rhea"/>
    <s v="2024-04-17 00:00:00"/>
    <s v="17-Apr-2024"/>
    <s v="T1"/>
    <x v="1"/>
    <x v="0"/>
    <s v="Assisted Support"/>
    <s v="Offered Refund"/>
  </r>
  <r>
    <n v="20142463"/>
    <d v="2026-01-29T09:07:23"/>
    <x v="5"/>
    <x v="1"/>
    <n v="100"/>
    <n v="10"/>
    <d v="2026-01-28T21:50:45"/>
    <s v="English"/>
    <s v="Meta Quest"/>
    <x v="2"/>
    <x v="2"/>
    <s v="No"/>
    <n v="476"/>
    <n v="9970"/>
    <s v="Normal"/>
    <n v="70.5"/>
    <n v="10"/>
    <n v="10"/>
    <n v="10"/>
    <n v="10"/>
    <n v="10"/>
    <n v="10"/>
    <n v="10"/>
    <n v="10"/>
    <n v="4"/>
    <s v="Yes - Outcome Satisfied"/>
    <s v="Kyle"/>
    <s v="2024-09-01 00:00:00"/>
    <s v="01-Sep-2024"/>
    <s v="T1"/>
    <x v="0"/>
    <x v="0"/>
    <s v="Assisted Support"/>
    <s v="Offered Credit"/>
  </r>
  <r>
    <n v="20163492"/>
    <d v="2026-02-02T09:03:49"/>
    <x v="6"/>
    <x v="1"/>
    <n v="100"/>
    <n v="10"/>
    <d v="2026-02-02T03:00:35"/>
    <s v="English"/>
    <s v="Meta Quest"/>
    <x v="1"/>
    <x v="3"/>
    <s v="Yes"/>
    <n v="3"/>
    <n v="38"/>
    <s v="Outlier"/>
    <n v="70.5"/>
    <n v="10"/>
    <n v="10"/>
    <n v="10"/>
    <n v="10"/>
    <n v="10"/>
    <n v="10"/>
    <n v="10"/>
    <n v="10"/>
    <n v="10"/>
    <s v="Yes - Outcome Satisfied"/>
    <s v="Deniel"/>
    <s v="2024-11-18 00:00:00"/>
    <s v="18-Nov-2024"/>
    <s v="T1"/>
    <x v="0"/>
    <x v="0"/>
    <s v="Assisted Support"/>
    <s v="Offered Refund"/>
  </r>
  <r>
    <n v="20164244"/>
    <d v="2026-02-02T09:07:16"/>
    <x v="7"/>
    <x v="1"/>
    <n v="100"/>
    <n v="10"/>
    <d v="2026-02-02T14:58:02"/>
    <s v="English"/>
    <s v="Meta Quest"/>
    <x v="2"/>
    <x v="4"/>
    <s v="No"/>
    <n v="2130"/>
    <n v="23336"/>
    <s v="Normal"/>
    <n v="70.5"/>
    <n v="10"/>
    <n v="10"/>
    <n v="10"/>
    <n v="10"/>
    <n v="10"/>
    <n v="10"/>
    <n v="10"/>
    <n v="10"/>
    <n v="10"/>
    <s v="Yes - Outcome Satisfied"/>
    <s v="Kyle"/>
    <s v="2025-06-10 00:00:00"/>
    <s v="10-Jun-2025"/>
    <s v="T1"/>
    <x v="0"/>
    <x v="0"/>
    <s v="Assisted Support"/>
    <s v="Answered Question"/>
  </r>
  <r>
    <n v="20163376"/>
    <d v="2026-02-02T09:03:18"/>
    <x v="8"/>
    <x v="1"/>
    <n v="100"/>
    <n v="10"/>
    <d v="2026-02-01T23:56:56"/>
    <s v="English"/>
    <s v="Meta Quest"/>
    <x v="2"/>
    <x v="3"/>
    <s v="No"/>
    <n v="262"/>
    <n v="1490"/>
    <s v="Normal"/>
    <n v="70.5"/>
    <n v="10"/>
    <n v="10"/>
    <n v="10"/>
    <n v="10"/>
    <n v="10"/>
    <n v="10"/>
    <n v="10"/>
    <n v="10"/>
    <n v="10"/>
    <s v="Yes - Outcome Satisfied"/>
    <s v="Neriza"/>
    <s v="2023-08-16 00:00:00"/>
    <s v="16-Aug-2023"/>
    <s v="T1"/>
    <x v="0"/>
    <x v="0"/>
    <s v="Assisted Support"/>
    <s v="Offered Refund"/>
  </r>
  <r>
    <n v="20163079"/>
    <d v="2026-02-02T09:01:57"/>
    <x v="9"/>
    <x v="0"/>
    <n v="-100"/>
    <n v="6"/>
    <d v="2026-02-02T16:18:55"/>
    <s v="English"/>
    <s v="Meta Portal"/>
    <x v="2"/>
    <x v="5"/>
    <s v="No"/>
    <n v="216"/>
    <n v="7359"/>
    <s v="Normal"/>
    <n v="70.5"/>
    <n v="10"/>
    <n v="10"/>
    <n v="10"/>
    <n v="10"/>
    <n v="10"/>
    <n v="10"/>
    <n v="10"/>
    <n v="10"/>
    <n v="6"/>
    <s v="Yes - Outcome Satisfied"/>
    <s v="Kyle"/>
    <s v="2025-06-10 00:00:00"/>
    <s v="10-Jun-2025"/>
    <s v="T1"/>
    <x v="0"/>
    <x v="0"/>
    <s v="Assisted Support"/>
    <s v="Answered Question"/>
  </r>
  <r>
    <n v="20153453"/>
    <d v="2026-01-31T09:06:40"/>
    <x v="10"/>
    <x v="1"/>
    <n v="100"/>
    <n v="10"/>
    <d v="2026-01-30T17:44:20"/>
    <s v="English (United Kingdom)"/>
    <s v="Meta Quest"/>
    <x v="1"/>
    <x v="6"/>
    <s v="No"/>
    <n v="731"/>
    <n v="24271"/>
    <s v="Normal"/>
    <n v="70.5"/>
    <n v="10"/>
    <n v="10"/>
    <n v="10"/>
    <n v="10"/>
    <n v="10"/>
    <n v="7"/>
    <n v="10"/>
    <n v="10"/>
    <n v="5"/>
    <s v="Yes - Outcome Satisfied"/>
    <s v="Raymond"/>
    <s v="2024-08-07 00:00:00"/>
    <s v="07-Aug-2024"/>
    <s v="T1"/>
    <x v="0"/>
    <x v="0"/>
    <s v="Assisted Support"/>
    <s v="Offered Credit"/>
  </r>
  <r>
    <n v="20141395"/>
    <d v="2026-01-29T09:02:28"/>
    <x v="11"/>
    <x v="2"/>
    <n v="0"/>
    <n v="7"/>
    <d v="2026-01-28T18:04:06"/>
    <s v="English"/>
    <s v="Rayban"/>
    <x v="1"/>
    <x v="0"/>
    <s v="Yes"/>
    <n v="40"/>
    <n v="58"/>
    <s v="Outlier"/>
    <n v="70.5"/>
    <n v="9"/>
    <n v="9"/>
    <n v="9"/>
    <n v="9"/>
    <n v="9"/>
    <n v="9"/>
    <n v="9"/>
    <n v="9"/>
    <n v="7"/>
    <s v="Yes - Outcome Satisfied"/>
    <s v="Ysa"/>
    <s v="2024-04-17 00:00:00"/>
    <s v="17-Apr-2024"/>
    <s v="T1"/>
    <x v="1"/>
    <x v="0"/>
    <s v="Assisted Support"/>
    <s v="Answered Question"/>
  </r>
  <r>
    <n v="20164156"/>
    <d v="2026-02-02T09:06:52"/>
    <x v="12"/>
    <x v="1"/>
    <n v="100"/>
    <n v="10"/>
    <d v="2026-02-02T10:17:04"/>
    <s v="English"/>
    <s v="Rayban"/>
    <x v="1"/>
    <x v="0"/>
    <s v="No"/>
    <n v="371"/>
    <n v="7784"/>
    <s v="Normal"/>
    <n v="70.5"/>
    <n v="10"/>
    <n v="10"/>
    <n v="10"/>
    <n v="10"/>
    <n v="10"/>
    <n v="10"/>
    <n v="10"/>
    <n v="10"/>
    <n v="10"/>
    <s v="Yes - Outcome Satisfied"/>
    <s v="Binadi43"/>
    <s v="2024-09-13 00:00:00"/>
    <s v="13-Sep-2024"/>
    <s v="T1"/>
    <x v="1"/>
    <x v="0"/>
    <s v="Assisted Support"/>
    <s v="Offered Refund"/>
  </r>
  <r>
    <n v="20141095"/>
    <d v="2026-01-29T09:01:05"/>
    <x v="13"/>
    <x v="1"/>
    <n v="100"/>
    <n v="10"/>
    <d v="2026-01-29T02:59:54"/>
    <s v="Japanese"/>
    <s v="Meta Quest"/>
    <x v="1"/>
    <x v="1"/>
    <s v="Yes"/>
    <n v="1"/>
    <n v="24"/>
    <s v="Outlier"/>
    <n v="70.5"/>
    <n v="10"/>
    <n v="10"/>
    <n v="10"/>
    <n v="10"/>
    <n v="10"/>
    <n v="10"/>
    <n v="10"/>
    <n v="10"/>
    <n v="10"/>
    <s v="Yes - Outcome Satisfied"/>
    <s v="水谷"/>
    <s v="2020-11-02 00:00:00"/>
    <s v="02-Nov-2020"/>
    <s v="T1"/>
    <x v="0"/>
    <x v="0"/>
    <s v="Assisted Support"/>
    <s v="Created RMA"/>
  </r>
  <r>
    <n v="20142165"/>
    <d v="2026-01-29T09:06:00"/>
    <x v="14"/>
    <x v="1"/>
    <n v="100"/>
    <n v="10"/>
    <d v="2026-01-28T18:02:09"/>
    <s v="English"/>
    <s v="Meta Quest"/>
    <x v="2"/>
    <x v="3"/>
    <s v="No"/>
    <n v="430"/>
    <n v="24625"/>
    <s v="Normal"/>
    <n v="70.5"/>
    <n v="10"/>
    <n v="10"/>
    <n v="10"/>
    <n v="10"/>
    <n v="10"/>
    <n v="10"/>
    <n v="10"/>
    <n v="10"/>
    <n v="10"/>
    <s v="Yes - Outcome Satisfied"/>
    <s v="Leun"/>
    <s v="2025-06-10 00:00:00"/>
    <s v="10-Jun-2025"/>
    <s v="T1"/>
    <x v="0"/>
    <x v="1"/>
    <s v="Assisted Support"/>
    <s v="Unresponsive"/>
  </r>
  <r>
    <n v="20163752"/>
    <d v="2026-02-02T09:05:00"/>
    <x v="15"/>
    <x v="0"/>
    <n v="-100"/>
    <n v="5"/>
    <d v="2026-02-02T02:21:00"/>
    <s v="English"/>
    <s v="Meta Quest"/>
    <x v="1"/>
    <x v="3"/>
    <s v="Yes"/>
    <n v="45"/>
    <n v="77"/>
    <s v="Normal"/>
    <n v="70.5"/>
    <n v="10"/>
    <n v="10"/>
    <n v="10"/>
    <n v="10"/>
    <n v="10"/>
    <n v="10"/>
    <n v="10"/>
    <n v="10"/>
    <n v="5"/>
    <s v="Yes - Outcome Satisfied"/>
    <s v="Jenny"/>
    <s v="2024-09-10 00:00:00"/>
    <s v="10-Sep-2024"/>
    <s v="T1"/>
    <x v="0"/>
    <x v="0"/>
    <s v="Assisted Support"/>
    <s v="Offered Refund"/>
  </r>
  <r>
    <n v="20163586"/>
    <d v="2026-02-02T09:04:17"/>
    <x v="16"/>
    <x v="1"/>
    <n v="100"/>
    <n v="10"/>
    <d v="2026-02-01T23:56:12"/>
    <s v="English"/>
    <s v="Meta Quest"/>
    <x v="1"/>
    <x v="1"/>
    <s v="Yes"/>
    <n v="5"/>
    <n v="59"/>
    <s v="Outlier"/>
    <n v="70.5"/>
    <n v="10"/>
    <n v="10"/>
    <n v="10"/>
    <n v="10"/>
    <n v="10"/>
    <n v="10"/>
    <n v="10"/>
    <n v="10"/>
    <n v="10"/>
    <s v="Yes - Outcome Satisfied"/>
    <s v="Simon"/>
    <s v="2023-07-31 00:00:00"/>
    <s v="31-Jul-2023"/>
    <s v="T1"/>
    <x v="1"/>
    <x v="0"/>
    <s v="Assisted Support"/>
    <s v="Created RMA"/>
  </r>
  <r>
    <n v="20164091"/>
    <d v="2026-02-02T09:06:34"/>
    <x v="17"/>
    <x v="1"/>
    <n v="100"/>
    <n v="9"/>
    <d v="2026-02-01T20:03:04"/>
    <s v="English"/>
    <s v="Meta Quest"/>
    <x v="1"/>
    <x v="1"/>
    <s v="Yes"/>
    <n v="63"/>
    <n v="95"/>
    <s v="Normal"/>
    <n v="70.5"/>
    <n v="9"/>
    <n v="9"/>
    <n v="9"/>
    <n v="9"/>
    <n v="9"/>
    <n v="9"/>
    <n v="9"/>
    <n v="9"/>
    <n v="9"/>
    <s v="Yes - Outcome Satisfied"/>
    <s v="Kash"/>
    <s v="2024-10-14 00:00:00"/>
    <s v="14-Oct-2024"/>
    <s v="T1"/>
    <x v="0"/>
    <x v="0"/>
    <s v="Assisted Support"/>
    <s v="Created RMA"/>
  </r>
  <r>
    <n v="20163317"/>
    <d v="2026-02-02T09:03:01"/>
    <x v="18"/>
    <x v="1"/>
    <n v="100"/>
    <n v="10"/>
    <d v="2026-02-02T16:56:38"/>
    <s v="English"/>
    <s v="Meta Quest"/>
    <x v="2"/>
    <x v="3"/>
    <s v="No"/>
    <n v="73"/>
    <n v="182"/>
    <s v="Normal"/>
    <n v="70.5"/>
    <n v="10"/>
    <n v="10"/>
    <n v="10"/>
    <n v="10"/>
    <n v="10"/>
    <n v="10"/>
    <n v="10"/>
    <n v="10"/>
    <n v="10"/>
    <s v="Yes - Outcome Satisfied"/>
    <s v="Mirul"/>
    <s v="2021-08-02 00:00:00"/>
    <s v="02-Aug-2021"/>
    <s v="T1"/>
    <x v="1"/>
    <x v="0"/>
    <s v="Assisted Support"/>
    <s v="Offered Refund"/>
  </r>
  <r>
    <n v="20162430"/>
    <d v="2026-02-02T07:51:32"/>
    <x v="19"/>
    <x v="1"/>
    <n v="100"/>
    <n v="10"/>
    <d v="2026-02-02T09:01:02"/>
    <s v="English"/>
    <s v="Meta Quest"/>
    <x v="3"/>
    <x v="3"/>
    <s v="No"/>
    <n v="55"/>
    <n v="55"/>
    <s v="Outlier"/>
    <n v="70.5"/>
    <n v="10"/>
    <n v="10"/>
    <n v="10"/>
    <n v="10"/>
    <n v="10"/>
    <n v="10"/>
    <n v="10"/>
    <n v="10"/>
    <n v="10"/>
    <s v="Yes - Outcome Satisfied"/>
    <s v="Suha"/>
    <s v="2025-06-02 00:00:00"/>
    <s v="02-Jun-2025"/>
    <s v="T1"/>
    <x v="1"/>
    <x v="0"/>
    <s v="Assisted Support"/>
    <s v="Offered Credit"/>
  </r>
  <r>
    <n v="20162350"/>
    <d v="2026-02-02T07:34:29"/>
    <x v="20"/>
    <x v="1"/>
    <n v="100"/>
    <n v="10"/>
    <d v="2026-02-02T13:06:29"/>
    <s v="English"/>
    <s v="Meta Quest"/>
    <x v="3"/>
    <x v="3"/>
    <s v="No"/>
    <n v="545"/>
    <n v="1005"/>
    <s v="Normal"/>
    <n v="70.5"/>
    <n v="10"/>
    <n v="10"/>
    <n v="10"/>
    <n v="10"/>
    <n v="10"/>
    <n v="10"/>
    <n v="10"/>
    <n v="10"/>
    <n v="10"/>
    <s v="Yes - Outcome Satisfied"/>
    <s v="Jamaica"/>
    <s v="2024-09-24 00:00:00"/>
    <s v="24-Sep-2024"/>
    <s v="T1"/>
    <x v="0"/>
    <x v="0"/>
    <s v="Assisted Support"/>
    <s v="Offered Credit"/>
  </r>
  <r>
    <n v="20158240"/>
    <d v="2026-02-01T09:04:56"/>
    <x v="21"/>
    <x v="0"/>
    <n v="-100"/>
    <n v="0"/>
    <d v="2026-02-01T08:56:22"/>
    <s v="Japanese"/>
    <s v="Meta Quest"/>
    <x v="2"/>
    <x v="1"/>
    <s v="No"/>
    <n v="1306"/>
    <n v="9006"/>
    <s v="Normal"/>
    <n v="70.5"/>
    <n v="0"/>
    <n v="5"/>
    <n v="0"/>
    <n v="0"/>
    <n v="5"/>
    <n v="0"/>
    <n v="5"/>
    <n v="0"/>
    <n v="0"/>
    <s v="No - Inquiry Unresolved"/>
    <s v="水守"/>
    <s v="2023-05-23 00:00:00"/>
    <s v="23-May-2023"/>
    <s v="T1"/>
    <x v="1"/>
    <x v="0"/>
    <s v="Assisted Support"/>
    <s v="Answered Question"/>
  </r>
  <r>
    <n v="20157430"/>
    <d v="2026-02-01T09:01:04"/>
    <x v="22"/>
    <x v="1"/>
    <n v="100"/>
    <n v="10"/>
    <d v="2026-02-01T09:01:14"/>
    <s v="English"/>
    <s v="Meta Quest"/>
    <x v="2"/>
    <x v="3"/>
    <s v="Yes"/>
    <n v="72"/>
    <n v="13271"/>
    <s v="Normal"/>
    <n v="70.5"/>
    <n v="5"/>
    <n v="5"/>
    <n v="5"/>
    <n v="5"/>
    <n v="5"/>
    <n v="2"/>
    <n v="5"/>
    <n v="1"/>
    <n v="0"/>
    <s v="No - Inquiry Unresolved"/>
    <s v="Jaye"/>
    <s v="2025-08-14 00:00:00"/>
    <s v="14-Aug-2025"/>
    <s v="T1"/>
    <x v="1"/>
    <x v="1"/>
    <s v="Assisted Support"/>
    <s v="Unresponsive"/>
  </r>
  <r>
    <n v="20136931"/>
    <d v="2026-01-28T09:07:51"/>
    <x v="23"/>
    <x v="0"/>
    <n v="-100"/>
    <n v="5"/>
    <d v="2026-01-28T00:02:46"/>
    <s v="English (United Kingdom)"/>
    <s v="Meta Quest"/>
    <x v="1"/>
    <x v="0"/>
    <s v="No"/>
    <n v="328"/>
    <n v="17793"/>
    <s v="Normal"/>
    <n v="70.5"/>
    <n v="5"/>
    <n v="6"/>
    <n v="8"/>
    <n v="5"/>
    <n v="5"/>
    <n v="4"/>
    <n v="7"/>
    <n v="4"/>
    <n v="0"/>
    <s v="Yes - Outcome Not Satisfied"/>
    <s v="Rachel"/>
    <s v="2024-09-04 00:00:00"/>
    <s v="04-Sep-2024"/>
    <s v="T1"/>
    <x v="1"/>
    <x v="1"/>
    <s v="Assisted Support"/>
    <s v="Unresponsive"/>
  </r>
  <r>
    <n v="20161833"/>
    <d v="2026-02-02T05:24:38"/>
    <x v="24"/>
    <x v="1"/>
    <n v="100"/>
    <n v="10"/>
    <d v="2026-02-02T13:23:20"/>
    <s v="English"/>
    <s v="Meta Quest"/>
    <x v="3"/>
    <x v="3"/>
    <s v="No"/>
    <n v="23"/>
    <n v="24"/>
    <s v="Outlier"/>
    <n v="70.5"/>
    <n v="10"/>
    <n v="10"/>
    <n v="10"/>
    <n v="10"/>
    <n v="10"/>
    <n v="10"/>
    <n v="10"/>
    <n v="10"/>
    <n v="10"/>
    <s v="Yes - Outcome Satisfied"/>
    <s v="Devin"/>
    <s v="2024-09-13 00:00:00"/>
    <s v="13-Sep-2024"/>
    <s v="T1"/>
    <x v="1"/>
    <x v="0"/>
    <s v="Assisted Support"/>
    <s v="Answered Question"/>
  </r>
  <r>
    <n v="20152414"/>
    <d v="2026-01-31T09:01:43"/>
    <x v="25"/>
    <x v="1"/>
    <n v="100"/>
    <n v="10"/>
    <d v="2026-01-31T12:31:16"/>
    <s v="English (United Kingdom)"/>
    <s v="Meta Quest"/>
    <x v="2"/>
    <x v="3"/>
    <s v="No"/>
    <n v="549"/>
    <n v="5312"/>
    <s v="Normal"/>
    <n v="70.5"/>
    <n v="10"/>
    <n v="10"/>
    <n v="10"/>
    <n v="10"/>
    <n v="10"/>
    <n v="10"/>
    <n v="10"/>
    <n v="10"/>
    <n v="10"/>
    <s v="Yes - Outcome Satisfied"/>
    <s v="Flores"/>
    <s v="2023-11-20 00:00:00"/>
    <s v="20-Nov-2023"/>
    <s v="T1"/>
    <x v="0"/>
    <x v="0"/>
    <s v="Assisted Support"/>
    <s v="Offered Credit"/>
  </r>
  <r>
    <n v="20161700"/>
    <d v="2026-02-02T04:52:18"/>
    <x v="26"/>
    <x v="2"/>
    <n v="0"/>
    <n v="8"/>
    <d v="2026-02-01T22:00:24"/>
    <s v="English"/>
    <s v="Meta Quest"/>
    <x v="3"/>
    <x v="7"/>
    <s v="No"/>
    <n v="122"/>
    <n v="155"/>
    <s v="Normal"/>
    <n v="70.5"/>
    <n v="8"/>
    <n v="9"/>
    <n v="9"/>
    <n v="8"/>
    <n v="8"/>
    <n v="8"/>
    <n v="9"/>
    <n v="7"/>
    <n v="4"/>
    <s v="Yes - Outcome Not Satisfied"/>
    <s v="Nerilyn"/>
    <s v="2024-12-04 00:00:00"/>
    <s v="04-Dec-2024"/>
    <s v="T1"/>
    <x v="0"/>
    <x v="0"/>
    <s v="Assisted Support"/>
    <s v="Offered Credit"/>
  </r>
  <r>
    <n v="20161673"/>
    <d v="2026-02-02T04:34:16"/>
    <x v="27"/>
    <x v="0"/>
    <n v="-100"/>
    <n v="0"/>
    <d v="2026-02-02T12:33:16"/>
    <s v="English"/>
    <s v="Meta Quest"/>
    <x v="3"/>
    <x v="3"/>
    <s v="No"/>
    <n v="42"/>
    <n v="292"/>
    <s v="Normal"/>
    <n v="70.5"/>
    <n v="0"/>
    <n v="0"/>
    <n v="5"/>
    <n v="0"/>
    <n v="0"/>
    <n v="0"/>
    <n v="0"/>
    <n v="0"/>
    <n v="0"/>
    <s v="No - Inquiry Unresolved"/>
    <s v="James"/>
    <s v="2024-11-15 00:00:00"/>
    <s v="15-Nov-2024"/>
    <s v="T1"/>
    <x v="0"/>
    <x v="0"/>
    <s v="Assisted Support"/>
    <s v="No Solution Available"/>
  </r>
  <r>
    <n v="20147003"/>
    <d v="2026-01-30T09:01:54"/>
    <x v="28"/>
    <x v="1"/>
    <n v="100"/>
    <n v="10"/>
    <d v="2026-01-29T22:43:48"/>
    <s v="English (United Kingdom)"/>
    <s v="Meta Quest"/>
    <x v="1"/>
    <x v="5"/>
    <s v="Yes"/>
    <n v="5"/>
    <n v="53"/>
    <s v="Outlier"/>
    <n v="70.5"/>
    <n v="10"/>
    <n v="10"/>
    <n v="10"/>
    <n v="9"/>
    <n v="10"/>
    <n v="10"/>
    <n v="10"/>
    <n v="10"/>
    <n v="10"/>
    <s v="Yes - Outcome Satisfied"/>
    <s v="Michael"/>
    <s v="2024-11-01 00:00:00"/>
    <s v="01-Nov-2024"/>
    <s v="T1"/>
    <x v="0"/>
    <x v="0"/>
    <s v="Assisted Support"/>
    <s v="Created RMA"/>
  </r>
  <r>
    <n v="20158388"/>
    <d v="2026-02-01T09:05:37"/>
    <x v="29"/>
    <x v="2"/>
    <n v="0"/>
    <n v="8"/>
    <d v="2026-02-01T10:19:44"/>
    <s v="English"/>
    <s v="Meta Quest"/>
    <x v="2"/>
    <x v="0"/>
    <s v="No"/>
    <n v="164"/>
    <n v="8172"/>
    <s v="Normal"/>
    <n v="70.5"/>
    <n v="10"/>
    <n v="8"/>
    <n v="10"/>
    <n v="10"/>
    <n v="10"/>
    <n v="10"/>
    <n v="10"/>
    <n v="10"/>
    <n v="10"/>
    <s v="Yes - Outcome Satisfied"/>
    <s v="Marc"/>
    <s v="2024-08-07 00:00:00"/>
    <s v="07-Aug-2024"/>
    <s v="T1"/>
    <x v="0"/>
    <x v="0"/>
    <s v="Assisted Support"/>
    <s v="Offered Credit"/>
  </r>
  <r>
    <n v="20158260"/>
    <d v="2026-02-01T09:05:01"/>
    <x v="30"/>
    <x v="1"/>
    <n v="100"/>
    <n v="10"/>
    <d v="2026-01-31T21:24:31"/>
    <s v="English (United Kingdom)"/>
    <s v="Meta Quest"/>
    <x v="1"/>
    <x v="8"/>
    <s v="Yes"/>
    <n v="5"/>
    <n v="69"/>
    <s v="Outlier"/>
    <n v="70.5"/>
    <n v="10"/>
    <n v="10"/>
    <n v="10"/>
    <n v="10"/>
    <n v="10"/>
    <n v="10"/>
    <n v="10"/>
    <n v="10"/>
    <n v="9"/>
    <s v="Yes - Outcome Satisfied"/>
    <s v="Kyle"/>
    <s v="2025-06-10 00:00:00"/>
    <s v="10-Jun-2025"/>
    <s v="T1"/>
    <x v="0"/>
    <x v="0"/>
    <s v="Assisted Support"/>
    <s v="Answered Question"/>
  </r>
  <r>
    <n v="20161342"/>
    <d v="2026-02-02T01:30:40"/>
    <x v="31"/>
    <x v="1"/>
    <n v="100"/>
    <n v="10"/>
    <d v="2026-02-02T09:27:39"/>
    <s v="English"/>
    <s v="Meta Quest"/>
    <x v="3"/>
    <x v="9"/>
    <s v="No"/>
    <n v="86"/>
    <n v="87"/>
    <s v="Normal"/>
    <n v="70.5"/>
    <n v="10"/>
    <n v="10"/>
    <n v="10"/>
    <n v="10"/>
    <n v="10"/>
    <n v="10"/>
    <n v="10"/>
    <n v="10"/>
    <n v="8"/>
    <s v="Yes - Outcome Satisfied"/>
    <s v="Mark"/>
    <s v="2022-10-26 00:00:00"/>
    <s v="26-Oct-2022"/>
    <s v="T1"/>
    <x v="1"/>
    <x v="0"/>
    <s v="Assisted Support"/>
    <s v="Created RMA"/>
  </r>
  <r>
    <n v="20136136"/>
    <d v="2026-01-28T09:03:47"/>
    <x v="32"/>
    <x v="0"/>
    <n v="-100"/>
    <n v="0"/>
    <d v="2026-01-28T03:41:58"/>
    <s v="Japanese"/>
    <s v="Meta Quest"/>
    <x v="1"/>
    <x v="3"/>
    <s v="Yes"/>
    <n v="13"/>
    <n v="2791"/>
    <s v="Normal"/>
    <n v="70.5"/>
    <n v="0"/>
    <n v="0"/>
    <n v="0"/>
    <n v="0"/>
    <n v="0"/>
    <n v="0"/>
    <n v="0"/>
    <n v="0"/>
    <n v="0"/>
    <s v="No - Inquiry Unresolved"/>
    <s v="武藤"/>
    <s v="2025-07-04 00:00:00"/>
    <s v="04-Jul-2025"/>
    <s v="T1"/>
    <x v="1"/>
    <x v="0"/>
    <s v="Assisted Support"/>
    <s v="Escalated"/>
  </r>
  <r>
    <n v="20136156"/>
    <d v="2026-01-28T09:03:52"/>
    <x v="33"/>
    <x v="1"/>
    <n v="100"/>
    <n v="10"/>
    <d v="2026-01-27T17:53:51"/>
    <s v="English"/>
    <s v="Meta Quest"/>
    <x v="1"/>
    <x v="3"/>
    <s v="Yes"/>
    <n v="60"/>
    <n v="84"/>
    <s v="Normal"/>
    <n v="70.5"/>
    <n v="10"/>
    <n v="10"/>
    <n v="10"/>
    <n v="10"/>
    <n v="10"/>
    <n v="10"/>
    <n v="10"/>
    <n v="10"/>
    <n v="10"/>
    <m/>
    <s v="Drew"/>
    <s v="2024-09-10 00:00:00"/>
    <s v="10-Sep-2024"/>
    <s v="T1"/>
    <x v="0"/>
    <x v="0"/>
    <s v="Assisted Support"/>
    <s v="Troubleshooting Successful"/>
  </r>
  <r>
    <n v="20130593"/>
    <d v="2026-01-27T09:04:00"/>
    <x v="34"/>
    <x v="1"/>
    <n v="100"/>
    <n v="10"/>
    <d v="2026-01-27T00:56:04"/>
    <s v="English (United Kingdom)"/>
    <s v="Meta Quest"/>
    <x v="1"/>
    <x v="0"/>
    <s v="Yes"/>
    <n v="20"/>
    <n v="54"/>
    <s v="Outlier"/>
    <n v="70.5"/>
    <n v="10"/>
    <n v="10"/>
    <n v="10"/>
    <n v="10"/>
    <n v="10"/>
    <n v="10"/>
    <n v="10"/>
    <n v="10"/>
    <n v="10"/>
    <s v="Yes - Outcome Satisfied"/>
    <s v="Niky"/>
    <s v="2025-06-02 00:00:00"/>
    <s v="02-Jun-2025"/>
    <s v="T1"/>
    <x v="1"/>
    <x v="0"/>
    <s v="Assisted Support"/>
    <s v="Answered Question"/>
  </r>
  <r>
    <n v="20153182"/>
    <d v="2026-01-31T09:05:19"/>
    <x v="35"/>
    <x v="1"/>
    <n v="100"/>
    <n v="10"/>
    <d v="2026-01-30T19:37:51"/>
    <s v="German"/>
    <s v="Meta Quest"/>
    <x v="2"/>
    <x v="1"/>
    <s v="No"/>
    <n v="209"/>
    <n v="10120"/>
    <s v="Normal"/>
    <n v="70.5"/>
    <n v="10"/>
    <n v="10"/>
    <n v="10"/>
    <n v="10"/>
    <n v="10"/>
    <n v="10"/>
    <n v="10"/>
    <n v="10"/>
    <n v="10"/>
    <s v="Yes - Outcome Satisfied"/>
    <s v="Joyce"/>
    <s v="2023-06-13 00:00:00"/>
    <s v="13-Jun-2023"/>
    <s v="T1"/>
    <x v="1"/>
    <x v="0"/>
    <s v="Assisted Support"/>
    <s v="Created RMA"/>
  </r>
  <r>
    <n v="20157500"/>
    <d v="2026-02-01T09:01:22"/>
    <x v="36"/>
    <x v="1"/>
    <n v="100"/>
    <n v="10"/>
    <d v="2026-02-01T04:44:02"/>
    <s v="Chinese (Taiwan)"/>
    <s v="Meta Quest"/>
    <x v="2"/>
    <x v="0"/>
    <s v="No"/>
    <n v="133"/>
    <n v="8778"/>
    <s v="Normal"/>
    <n v="70.5"/>
    <n v="10"/>
    <n v="10"/>
    <n v="10"/>
    <n v="10"/>
    <n v="10"/>
    <n v="10"/>
    <n v="10"/>
    <n v="10"/>
    <n v="10"/>
    <s v="Yes - Outcome Satisfied"/>
    <s v="Dickson"/>
    <s v="2023-10-27 00:00:00"/>
    <s v="27-Oct-2023"/>
    <s v="T1"/>
    <x v="0"/>
    <x v="0"/>
    <s v="Assisted Support"/>
    <s v="Troubleshooting Successful"/>
  </r>
  <r>
    <n v="20125106"/>
    <d v="2026-01-26T09:04:33"/>
    <x v="37"/>
    <x v="2"/>
    <n v="0"/>
    <n v="7"/>
    <d v="2026-01-26T05:04:30"/>
    <s v="English"/>
    <s v="Meta Quest"/>
    <x v="1"/>
    <x v="4"/>
    <s v="Yes"/>
    <n v="8"/>
    <n v="109"/>
    <s v="Normal"/>
    <n v="70.5"/>
    <n v="9"/>
    <n v="9"/>
    <n v="9"/>
    <n v="9"/>
    <n v="9"/>
    <n v="9"/>
    <n v="9"/>
    <n v="8"/>
    <n v="4"/>
    <s v="Yes - Outcome Satisfied"/>
    <s v="Hari"/>
    <s v="2023-08-11 00:00:00"/>
    <s v="11-Aug-2023"/>
    <s v="Supervisor"/>
    <x v="1"/>
    <x v="0"/>
    <s v="Assisted Support"/>
    <s v="OOW RMA"/>
  </r>
  <r>
    <n v="20160899"/>
    <d v="2026-02-01T21:10:49"/>
    <x v="38"/>
    <x v="0"/>
    <n v="-100"/>
    <n v="5"/>
    <d v="2026-02-02T02:02:05"/>
    <s v="English"/>
    <s v="Meta Quest"/>
    <x v="3"/>
    <x v="2"/>
    <s v="No"/>
    <n v="138"/>
    <n v="13309"/>
    <s v="Normal"/>
    <n v="70.5"/>
    <n v="3"/>
    <n v="5"/>
    <n v="2"/>
    <n v="8"/>
    <n v="8"/>
    <n v="0"/>
    <n v="0"/>
    <n v="0"/>
    <n v="1"/>
    <s v="No - Inquiry Unresolved"/>
    <s v="Rob"/>
    <s v="2024-11-29 00:00:00"/>
    <s v="29-Nov-2024"/>
    <s v="T1"/>
    <x v="0"/>
    <x v="1"/>
    <s v="Assisted Support"/>
    <s v="Unresponsive"/>
  </r>
  <r>
    <n v="20131109"/>
    <d v="2026-01-27T09:06:13"/>
    <x v="39"/>
    <x v="1"/>
    <n v="100"/>
    <n v="10"/>
    <d v="2026-01-27T09:39:47"/>
    <s v="Japanese"/>
    <s v="Meta Quest"/>
    <x v="2"/>
    <x v="5"/>
    <s v="No"/>
    <n v="80"/>
    <n v="7495"/>
    <s v="Normal"/>
    <n v="70.5"/>
    <n v="10"/>
    <n v="10"/>
    <n v="10"/>
    <n v="10"/>
    <n v="10"/>
    <n v="10"/>
    <n v="10"/>
    <n v="10"/>
    <n v="10"/>
    <s v="Yes - Outcome Satisfied"/>
    <s v="Hasegawa"/>
    <s v="2024-11-29 00:00:00"/>
    <s v="29-Nov-2024"/>
    <s v="T1"/>
    <x v="1"/>
    <x v="0"/>
    <s v="Assisted Support"/>
    <s v="Created RMA"/>
  </r>
  <r>
    <n v="20160847"/>
    <d v="2026-02-01T20:41:32"/>
    <x v="40"/>
    <x v="1"/>
    <n v="100"/>
    <n v="10"/>
    <d v="2026-02-02T04:40:44"/>
    <s v="English"/>
    <s v="Meta Quest"/>
    <x v="3"/>
    <x v="3"/>
    <s v="No"/>
    <n v="7"/>
    <n v="7"/>
    <s v="Outlier"/>
    <n v="70.5"/>
    <n v="10"/>
    <n v="10"/>
    <n v="10"/>
    <n v="10"/>
    <n v="10"/>
    <n v="10"/>
    <n v="10"/>
    <n v="10"/>
    <n v="10"/>
    <s v="Yes - Outcome Satisfied"/>
    <s v="Clove"/>
    <s v="2025-08-18 00:00:00"/>
    <s v="18-Aug-2025"/>
    <s v="T1"/>
    <x v="1"/>
    <x v="0"/>
    <s v="Assisted Support"/>
    <s v="Answered Question"/>
  </r>
  <r>
    <n v="20157809"/>
    <d v="2026-02-01T09:02:54"/>
    <x v="41"/>
    <x v="2"/>
    <n v="0"/>
    <n v="7"/>
    <d v="2026-02-01T02:29:01"/>
    <s v="English (United Kingdom)"/>
    <s v="Meta Quest"/>
    <x v="1"/>
    <x v="1"/>
    <s v="Yes"/>
    <n v="8"/>
    <n v="47"/>
    <s v="Outlier"/>
    <n v="70.5"/>
    <n v="9"/>
    <n v="8"/>
    <n v="10"/>
    <n v="9"/>
    <n v="9"/>
    <n v="9"/>
    <n v="10"/>
    <n v="10"/>
    <n v="8"/>
    <s v="Yes - Outcome Satisfied"/>
    <s v="Faith"/>
    <s v="2024-04-12 00:00:00"/>
    <s v="12-Apr-2024"/>
    <s v="T1"/>
    <x v="1"/>
    <x v="0"/>
    <s v="Assisted Support"/>
    <s v="Created RMA"/>
  </r>
  <r>
    <n v="20157343"/>
    <d v="2026-02-01T09:00:43"/>
    <x v="42"/>
    <x v="1"/>
    <n v="100"/>
    <n v="10"/>
    <d v="2026-02-01T01:09:16"/>
    <s v="Japanese"/>
    <s v="Meta Quest"/>
    <x v="2"/>
    <x v="4"/>
    <s v="Yes"/>
    <n v="35"/>
    <n v="581"/>
    <s v="Normal"/>
    <n v="70.5"/>
    <n v="8"/>
    <n v="10"/>
    <n v="10"/>
    <n v="10"/>
    <n v="10"/>
    <n v="10"/>
    <n v="10"/>
    <n v="7"/>
    <n v="10"/>
    <s v="Yes - Outcome Satisfied"/>
    <s v="トミー"/>
    <s v="2023-11-20 00:00:00"/>
    <s v="20-Nov-2023"/>
    <s v="T1"/>
    <x v="0"/>
    <x v="0"/>
    <s v="Assisted Support"/>
    <s v="Created RMA"/>
  </r>
  <r>
    <n v="20158861"/>
    <d v="2026-02-01T09:08:09"/>
    <x v="43"/>
    <x v="0"/>
    <n v="-100"/>
    <n v="6"/>
    <d v="2026-02-01T05:32:24"/>
    <s v="Japanese"/>
    <s v="Meta Quest"/>
    <x v="2"/>
    <x v="2"/>
    <s v="No"/>
    <n v="471"/>
    <n v="27576"/>
    <s v="Normal"/>
    <n v="70.5"/>
    <n v="6"/>
    <n v="8"/>
    <n v="8"/>
    <n v="8"/>
    <n v="7"/>
    <n v="7"/>
    <n v="8"/>
    <n v="5"/>
    <n v="3"/>
    <s v="No - Inquiry Unresolved"/>
    <s v="トミー"/>
    <s v="2023-11-20 00:00:00"/>
    <s v="20-Nov-2023"/>
    <s v="T1"/>
    <x v="0"/>
    <x v="0"/>
    <s v="Assisted Support"/>
    <s v="No Solution Available"/>
  </r>
  <r>
    <n v="20160561"/>
    <d v="2026-02-01T18:08:41"/>
    <x v="44"/>
    <x v="1"/>
    <n v="100"/>
    <n v="9"/>
    <d v="2026-02-02T02:06:35"/>
    <s v="English"/>
    <s v="Rayban"/>
    <x v="3"/>
    <x v="8"/>
    <s v="No"/>
    <n v="19"/>
    <n v="19"/>
    <s v="Outlier"/>
    <n v="70.5"/>
    <n v="9"/>
    <n v="9"/>
    <n v="9"/>
    <n v="9"/>
    <n v="9"/>
    <n v="9"/>
    <n v="9"/>
    <n v="9"/>
    <n v="9"/>
    <s v="Yes - Outcome Satisfied"/>
    <s v="Neriza"/>
    <s v="2023-08-16 00:00:00"/>
    <s v="16-Aug-2023"/>
    <s v="T1"/>
    <x v="0"/>
    <x v="0"/>
    <s v="Assisted Support"/>
    <s v="Answered Question"/>
  </r>
  <r>
    <n v="20157707"/>
    <d v="2026-02-01T09:02:24"/>
    <x v="45"/>
    <x v="1"/>
    <n v="100"/>
    <n v="10"/>
    <d v="2026-01-31T23:50:14"/>
    <s v="Japanese"/>
    <s v="Meta Quest"/>
    <x v="2"/>
    <x v="3"/>
    <s v="No"/>
    <n v="631"/>
    <n v="1861"/>
    <s v="Normal"/>
    <n v="70.5"/>
    <n v="10"/>
    <n v="10"/>
    <n v="10"/>
    <n v="10"/>
    <n v="10"/>
    <n v="10"/>
    <n v="10"/>
    <n v="10"/>
    <n v="10"/>
    <s v="Yes - Outcome Satisfied"/>
    <s v="トミー"/>
    <s v="2023-11-20 00:00:00"/>
    <s v="20-Nov-2023"/>
    <s v="T1"/>
    <x v="0"/>
    <x v="0"/>
    <s v="Assisted Support"/>
    <s v="Troubleshooting Successful"/>
  </r>
  <r>
    <n v="20160525"/>
    <d v="2026-02-01T18:02:33"/>
    <x v="46"/>
    <x v="1"/>
    <n v="100"/>
    <n v="9"/>
    <d v="2026-02-02T02:01:33"/>
    <s v="English"/>
    <s v="Meta Quest"/>
    <x v="3"/>
    <x v="3"/>
    <s v="No"/>
    <n v="441"/>
    <n v="3091"/>
    <s v="Normal"/>
    <n v="70.5"/>
    <n v="6"/>
    <n v="5"/>
    <n v="9"/>
    <n v="7"/>
    <n v="8"/>
    <n v="7"/>
    <n v="8"/>
    <n v="6"/>
    <n v="10"/>
    <s v="Yes - Outcome Satisfied"/>
    <s v="Jen"/>
    <s v="2023-08-21 00:00:00"/>
    <s v="21-Aug-2023"/>
    <s v="T1"/>
    <x v="0"/>
    <x v="0"/>
    <s v="Assisted Support"/>
    <s v="Escalated"/>
  </r>
  <r>
    <n v="20135682"/>
    <d v="2026-01-28T09:01:45"/>
    <x v="47"/>
    <x v="2"/>
    <n v="0"/>
    <n v="7"/>
    <d v="2026-01-28T13:53:08"/>
    <s v="Japanese"/>
    <s v="Meta Quest"/>
    <x v="1"/>
    <x v="5"/>
    <s v="Yes"/>
    <n v="4"/>
    <n v="95"/>
    <s v="Normal"/>
    <n v="70.5"/>
    <n v="8"/>
    <n v="7"/>
    <n v="7"/>
    <n v="6"/>
    <n v="7"/>
    <n v="6"/>
    <n v="6"/>
    <n v="5"/>
    <n v="5"/>
    <s v="Yes - Outcome Satisfied"/>
    <s v="Kikuchi"/>
    <s v="2025-04-13 00:00:00"/>
    <s v="13-Apr-2025"/>
    <s v="T1"/>
    <x v="1"/>
    <x v="0"/>
    <s v="Assisted Support"/>
    <s v="Created RMA"/>
  </r>
  <r>
    <n v="20160510"/>
    <d v="2026-02-01T17:57:08"/>
    <x v="48"/>
    <x v="1"/>
    <n v="100"/>
    <n v="10"/>
    <d v="2026-02-02T01:51:18"/>
    <s v="English"/>
    <s v="Rayban"/>
    <x v="3"/>
    <x v="0"/>
    <s v="No"/>
    <n v="77"/>
    <n v="121"/>
    <s v="Normal"/>
    <n v="70.5"/>
    <n v="10"/>
    <n v="10"/>
    <n v="10"/>
    <n v="10"/>
    <n v="10"/>
    <n v="10"/>
    <n v="10"/>
    <n v="10"/>
    <n v="10"/>
    <s v="Yes - Outcome Satisfied"/>
    <s v="Mary"/>
    <s v="2024-08-07 00:00:00"/>
    <s v="07-Aug-2024"/>
    <s v="T1"/>
    <x v="0"/>
    <x v="0"/>
    <s v="Assisted Support"/>
    <s v="Answered Question"/>
  </r>
  <r>
    <n v="20157796"/>
    <d v="2026-02-01T09:02:51"/>
    <x v="49"/>
    <x v="1"/>
    <n v="100"/>
    <n v="10"/>
    <d v="2026-02-01T08:29:55"/>
    <s v="English"/>
    <s v="Meta Quest"/>
    <x v="1"/>
    <x v="8"/>
    <s v="Yes"/>
    <n v="13"/>
    <n v="53"/>
    <s v="Outlier"/>
    <n v="70.5"/>
    <n v="10"/>
    <n v="10"/>
    <n v="10"/>
    <n v="10"/>
    <n v="10"/>
    <n v="10"/>
    <n v="10"/>
    <n v="10"/>
    <n v="10"/>
    <s v="Yes - Outcome Satisfied"/>
    <s v="Hope"/>
    <s v="2023-11-20 00:00:00"/>
    <s v="20-Nov-2023"/>
    <s v="T1"/>
    <x v="0"/>
    <x v="0"/>
    <s v="Assisted Support"/>
    <s v="Offered Credit"/>
  </r>
  <r>
    <n v="20157428"/>
    <d v="2026-02-01T09:01:04"/>
    <x v="50"/>
    <x v="0"/>
    <n v="-100"/>
    <n v="0"/>
    <d v="2026-02-01T14:06:52"/>
    <s v="English (United Kingdom)"/>
    <s v="Rayban"/>
    <x v="2"/>
    <x v="0"/>
    <s v="No"/>
    <n v="241"/>
    <n v="573"/>
    <s v="Normal"/>
    <n v="70.5"/>
    <n v="0"/>
    <n v="2"/>
    <n v="10"/>
    <s v="N/A"/>
    <n v="10"/>
    <s v="N/A"/>
    <n v="3"/>
    <n v="0"/>
    <n v="0"/>
    <s v="No - Inquiry Unresolved"/>
    <s v="Jamaica"/>
    <s v="2024-09-24 00:00:00"/>
    <s v="24-Sep-2024"/>
    <s v="T1"/>
    <x v="0"/>
    <x v="0"/>
    <s v="Assisted Support"/>
    <s v="Answered Question"/>
  </r>
  <r>
    <n v="20158494"/>
    <d v="2026-02-01T09:06:13"/>
    <x v="51"/>
    <x v="1"/>
    <n v="100"/>
    <n v="10"/>
    <d v="2026-02-01T10:56:51"/>
    <s v="English"/>
    <s v="Meta Quest"/>
    <x v="2"/>
    <x v="0"/>
    <s v="No"/>
    <n v="810"/>
    <n v="19160"/>
    <s v="Normal"/>
    <n v="70.5"/>
    <n v="9"/>
    <n v="10"/>
    <n v="10"/>
    <n v="10"/>
    <n v="9"/>
    <n v="10"/>
    <n v="10"/>
    <n v="10"/>
    <n v="5"/>
    <s v="Yes - Outcome Satisfied"/>
    <s v="Laurence"/>
    <s v="2023-11-20 00:00:00"/>
    <s v="20-Nov-2023"/>
    <s v="T1"/>
    <x v="0"/>
    <x v="0"/>
    <s v="Assisted Support"/>
    <s v="Answered Question"/>
  </r>
  <r>
    <n v="20125499"/>
    <d v="2026-01-26T09:06:23"/>
    <x v="52"/>
    <x v="0"/>
    <n v="-100"/>
    <n v="3"/>
    <d v="2026-01-25T23:54:29"/>
    <s v="Japanese"/>
    <s v="Meta Quest"/>
    <x v="1"/>
    <x v="7"/>
    <s v="No"/>
    <n v="34"/>
    <n v="9473"/>
    <s v="Normal"/>
    <n v="70.5"/>
    <n v="3"/>
    <n v="10"/>
    <n v="5"/>
    <n v="5"/>
    <n v="10"/>
    <n v="8"/>
    <n v="8"/>
    <n v="0"/>
    <n v="0"/>
    <s v="No - Inquiry Unresolved"/>
    <s v="水守"/>
    <s v="2023-05-23 00:00:00"/>
    <s v="23-May-2023"/>
    <s v="T1"/>
    <x v="1"/>
    <x v="0"/>
    <s v="Assisted Support"/>
    <s v="Troubleshooting Successful"/>
  </r>
  <r>
    <n v="20160194"/>
    <d v="2026-02-01T15:53:47"/>
    <x v="53"/>
    <x v="1"/>
    <n v="100"/>
    <n v="10"/>
    <d v="2026-02-01T23:52:14"/>
    <s v="English"/>
    <s v="Meta Quest"/>
    <x v="3"/>
    <x v="3"/>
    <s v="No"/>
    <n v="9"/>
    <n v="9"/>
    <s v="Outlier"/>
    <n v="70.5"/>
    <n v="10"/>
    <n v="10"/>
    <n v="10"/>
    <n v="10"/>
    <n v="10"/>
    <n v="10"/>
    <n v="10"/>
    <n v="10"/>
    <n v="10"/>
    <s v="Yes - Outcome Satisfied"/>
    <s v="Olivia"/>
    <s v="2024-05-16 00:00:00"/>
    <s v="16-May-2024"/>
    <s v="T1"/>
    <x v="1"/>
    <x v="0"/>
    <s v="Assisted Support"/>
    <s v="Offered Refund"/>
  </r>
  <r>
    <n v="20157815"/>
    <d v="2026-02-01T09:02:57"/>
    <x v="54"/>
    <x v="0"/>
    <n v="-100"/>
    <n v="0"/>
    <d v="2026-02-01T08:01:47"/>
    <s v="English"/>
    <s v="Meta Quest"/>
    <x v="2"/>
    <x v="3"/>
    <s v="Yes"/>
    <n v="60"/>
    <n v="13275"/>
    <s v="Normal"/>
    <n v="70.5"/>
    <n v="0"/>
    <n v="0"/>
    <n v="0"/>
    <n v="0"/>
    <n v="0"/>
    <n v="0"/>
    <n v="0"/>
    <n v="0"/>
    <n v="0"/>
    <s v="No - Inquiry Unresolved"/>
    <s v="Ru"/>
    <s v="2024-08-30 00:00:00"/>
    <s v="30-Aug-2024"/>
    <s v="T1"/>
    <x v="0"/>
    <x v="1"/>
    <s v="Assisted Support"/>
    <s v="Unresponsive"/>
  </r>
  <r>
    <n v="20135538"/>
    <d v="2026-01-28T09:01:04"/>
    <x v="55"/>
    <x v="0"/>
    <n v="-100"/>
    <n v="5"/>
    <d v="2026-01-28T07:11:26"/>
    <s v="Japanese"/>
    <s v="Meta Quest"/>
    <x v="2"/>
    <x v="1"/>
    <s v="Yes"/>
    <n v="28"/>
    <n v="28"/>
    <s v="Outlier"/>
    <n v="70.5"/>
    <n v="7"/>
    <n v="7"/>
    <n v="7"/>
    <n v="7"/>
    <n v="5"/>
    <n v="7"/>
    <n v="6"/>
    <n v="6"/>
    <n v="6"/>
    <s v="Yes - Outcome Not Satisfied"/>
    <s v="Kamimura"/>
    <s v="2023-05-23 00:00:00"/>
    <s v="23-May-2023"/>
    <s v="T1"/>
    <x v="1"/>
    <x v="0"/>
    <s v="Assisted Support"/>
    <s v="Answered Question"/>
  </r>
  <r>
    <n v="20136771"/>
    <d v="2026-01-28T09:06:58"/>
    <x v="56"/>
    <x v="1"/>
    <n v="100"/>
    <n v="10"/>
    <d v="2026-01-28T01:05:04"/>
    <s v="Japanese"/>
    <s v="Meta Quest"/>
    <x v="2"/>
    <x v="1"/>
    <s v="No"/>
    <n v="526"/>
    <n v="8654"/>
    <s v="Normal"/>
    <n v="70.5"/>
    <n v="10"/>
    <n v="10"/>
    <s v="N/A"/>
    <n v="10"/>
    <n v="10"/>
    <n v="10"/>
    <n v="10"/>
    <n v="8"/>
    <n v="10"/>
    <s v="Yes - Outcome Satisfied"/>
    <s v="加藤"/>
    <s v="2020-11-02 00:00:00"/>
    <s v="02-Nov-2020"/>
    <s v="T1"/>
    <x v="0"/>
    <x v="0"/>
    <s v="Assisted Support"/>
    <s v="Created RMA"/>
  </r>
  <r>
    <n v="20159696"/>
    <d v="2026-02-01T13:03:37"/>
    <x v="57"/>
    <x v="0"/>
    <n v="-100"/>
    <n v="0"/>
    <d v="2026-02-01T20:27:22"/>
    <s v="English"/>
    <s v="Rayban"/>
    <x v="3"/>
    <x v="0"/>
    <s v="No"/>
    <n v="579"/>
    <n v="1183"/>
    <s v="Normal"/>
    <n v="70.5"/>
    <n v="0"/>
    <n v="0"/>
    <n v="0"/>
    <n v="0"/>
    <n v="0"/>
    <n v="0"/>
    <n v="0"/>
    <n v="0"/>
    <n v="0"/>
    <s v="No - Inquiry Unresolved"/>
    <s v="Devontee"/>
    <s v="2024-09-01 00:00:00"/>
    <s v="01-Sep-2024"/>
    <s v="T1"/>
    <x v="0"/>
    <x v="0"/>
    <s v="Assisted Support"/>
    <s v="Offered Refund"/>
  </r>
  <r>
    <n v="20157637"/>
    <d v="2026-02-01T09:02:06"/>
    <x v="58"/>
    <x v="1"/>
    <n v="100"/>
    <n v="10"/>
    <d v="2026-02-01T07:46:04"/>
    <s v="Korean"/>
    <s v="Meta Quest"/>
    <x v="2"/>
    <x v="0"/>
    <s v="No"/>
    <n v="76"/>
    <n v="333"/>
    <s v="Normal"/>
    <n v="70.5"/>
    <n v="10"/>
    <n v="10"/>
    <n v="10"/>
    <n v="10"/>
    <n v="10"/>
    <n v="10"/>
    <n v="10"/>
    <n v="9"/>
    <n v="10"/>
    <s v="Yes - Outcome Satisfied"/>
    <s v="Steffi"/>
    <s v="2024-05-16 00:00:00"/>
    <s v="16-May-2024"/>
    <s v="T1"/>
    <x v="0"/>
    <x v="0"/>
    <s v="Assisted Support"/>
    <s v="Answered Question"/>
  </r>
  <r>
    <n v="20136498"/>
    <d v="2026-01-28T09:05:29"/>
    <x v="59"/>
    <x v="0"/>
    <n v="-100"/>
    <n v="0"/>
    <d v="2026-01-27T18:01:47"/>
    <s v="English"/>
    <s v="Rayban"/>
    <x v="2"/>
    <x v="0"/>
    <s v="Yes"/>
    <n v="64"/>
    <n v="13109"/>
    <s v="Normal"/>
    <n v="70.5"/>
    <n v="0"/>
    <n v="0"/>
    <n v="0"/>
    <n v="0"/>
    <n v="0"/>
    <n v="0"/>
    <n v="0"/>
    <n v="0"/>
    <n v="0"/>
    <s v="No - Inquiry Unresolved"/>
    <s v="Madeline"/>
    <s v="2022-10-19 00:00:00"/>
    <s v="19-Oct-2022"/>
    <s v="T1"/>
    <x v="1"/>
    <x v="1"/>
    <s v="Assisted Support"/>
    <s v="Unresponsive"/>
  </r>
  <r>
    <n v="20135408"/>
    <d v="2026-01-28T09:00:28"/>
    <x v="60"/>
    <x v="0"/>
    <n v="-100"/>
    <n v="2"/>
    <d v="2026-01-28T11:00:54"/>
    <s v="English"/>
    <s v="Meta Quest"/>
    <x v="1"/>
    <x v="2"/>
    <s v="No"/>
    <n v="1133"/>
    <n v="47024"/>
    <s v="Outlier"/>
    <n v="70.5"/>
    <n v="0"/>
    <n v="0"/>
    <n v="7"/>
    <n v="1"/>
    <n v="10"/>
    <n v="0"/>
    <n v="0"/>
    <n v="0"/>
    <n v="0"/>
    <s v="No - Inquiry Unresolved"/>
    <s v="Milan"/>
    <s v="2025-06-02 00:00:00"/>
    <s v="02-Jun-2025"/>
    <s v="T1"/>
    <x v="1"/>
    <x v="1"/>
    <s v="Assisted Support"/>
    <s v="Unresponsive"/>
  </r>
  <r>
    <n v="20158352"/>
    <d v="2026-02-01T09:05:26"/>
    <x v="61"/>
    <x v="2"/>
    <n v="0"/>
    <n v="8"/>
    <d v="2026-01-31T19:46:58"/>
    <s v="English"/>
    <s v="Meta Quest"/>
    <x v="1"/>
    <x v="1"/>
    <s v="Yes"/>
    <n v="61"/>
    <n v="93"/>
    <s v="Normal"/>
    <n v="70.5"/>
    <n v="8"/>
    <n v="8"/>
    <n v="8"/>
    <n v="8"/>
    <n v="8"/>
    <n v="8"/>
    <n v="8"/>
    <n v="10"/>
    <n v="4"/>
    <s v="Yes - Outcome Satisfied"/>
    <s v="Jeekyl"/>
    <s v="2024-05-23 00:00:00"/>
    <s v="23-May-2024"/>
    <s v="T1"/>
    <x v="0"/>
    <x v="0"/>
    <s v="Assisted Support"/>
    <s v="Created RMA"/>
  </r>
  <r>
    <n v="20158702"/>
    <d v="2026-02-01T09:07:23"/>
    <x v="62"/>
    <x v="0"/>
    <n v="-100"/>
    <n v="0"/>
    <d v="2026-01-31T19:03:12"/>
    <s v="English"/>
    <s v="Rayban"/>
    <x v="2"/>
    <x v="0"/>
    <s v="Yes"/>
    <n v="72"/>
    <n v="13110"/>
    <s v="Normal"/>
    <n v="70.5"/>
    <n v="0"/>
    <n v="0"/>
    <n v="10"/>
    <n v="0"/>
    <n v="0"/>
    <n v="5"/>
    <n v="0"/>
    <n v="0"/>
    <n v="0"/>
    <s v="No - Inquiry Unresolved"/>
    <s v="Cris"/>
    <s v="2024-05-16 00:00:00"/>
    <s v="16-May-2024"/>
    <s v="T1"/>
    <x v="1"/>
    <x v="1"/>
    <s v="Assisted Support"/>
    <s v="Unresponsive"/>
  </r>
  <r>
    <n v="20157579"/>
    <d v="2026-02-01T09:01:45"/>
    <x v="63"/>
    <x v="1"/>
    <n v="100"/>
    <n v="10"/>
    <d v="2026-02-01T04:52:59"/>
    <s v="English"/>
    <s v="Meta Quest"/>
    <x v="2"/>
    <x v="2"/>
    <s v="No"/>
    <n v="509"/>
    <n v="1676"/>
    <s v="Normal"/>
    <n v="70.5"/>
    <n v="10"/>
    <n v="10"/>
    <n v="10"/>
    <n v="10"/>
    <n v="10"/>
    <n v="10"/>
    <n v="10"/>
    <n v="10"/>
    <n v="10"/>
    <s v="Yes - Outcome Satisfied"/>
    <s v="Faith"/>
    <s v="2024-04-12 00:00:00"/>
    <s v="12-Apr-2024"/>
    <s v="T1"/>
    <x v="1"/>
    <x v="0"/>
    <s v="Assisted Support"/>
    <s v="Changed Account Info"/>
  </r>
  <r>
    <n v="20158249"/>
    <d v="2026-02-01T09:04:59"/>
    <x v="64"/>
    <x v="1"/>
    <n v="100"/>
    <n v="10"/>
    <d v="2026-01-31T23:06:40"/>
    <s v="English (United Kingdom)"/>
    <s v="Meta Quest"/>
    <x v="2"/>
    <x v="7"/>
    <s v="No"/>
    <n v="772"/>
    <n v="2264"/>
    <s v="Normal"/>
    <n v="70.5"/>
    <n v="10"/>
    <n v="10"/>
    <n v="10"/>
    <n v="10"/>
    <n v="10"/>
    <n v="10"/>
    <n v="10"/>
    <n v="10"/>
    <n v="10"/>
    <s v="Yes - Outcome Satisfied"/>
    <s v="Rey"/>
    <s v="2024-10-15 00:00:00"/>
    <s v="15-Oct-2024"/>
    <s v="T1"/>
    <x v="0"/>
    <x v="0"/>
    <s v="Assisted Support"/>
    <s v="OOW RMA"/>
  </r>
  <r>
    <n v="20135777"/>
    <d v="2026-01-28T09:02:07"/>
    <x v="65"/>
    <x v="2"/>
    <n v="0"/>
    <n v="8"/>
    <d v="2026-01-27T22:29:57"/>
    <s v="English"/>
    <s v="Meta Quest"/>
    <x v="1"/>
    <x v="0"/>
    <s v="Yes"/>
    <n v="47"/>
    <n v="61"/>
    <s v="Outlier"/>
    <n v="70.5"/>
    <n v="8"/>
    <n v="8"/>
    <n v="8"/>
    <n v="9"/>
    <n v="8"/>
    <n v="8"/>
    <n v="9"/>
    <n v="9"/>
    <n v="9"/>
    <s v="Yes - Outcome Satisfied"/>
    <s v="James"/>
    <s v="2024-11-01 00:00:00"/>
    <s v="01-Nov-2024"/>
    <s v="T1"/>
    <x v="0"/>
    <x v="0"/>
    <s v="Assisted Support"/>
    <s v="Offered Credit"/>
  </r>
  <r>
    <n v="20159162"/>
    <d v="2026-02-01T10:24:15"/>
    <x v="66"/>
    <x v="1"/>
    <n v="100"/>
    <n v="10"/>
    <d v="2026-02-01T18:23:07"/>
    <s v="English"/>
    <s v="Meta Quest"/>
    <x v="3"/>
    <x v="0"/>
    <s v="No"/>
    <n v="15"/>
    <n v="15"/>
    <s v="Outlier"/>
    <n v="70.5"/>
    <n v="10"/>
    <n v="10"/>
    <n v="10"/>
    <n v="10"/>
    <n v="10"/>
    <n v="10"/>
    <n v="10"/>
    <n v="10"/>
    <n v="10"/>
    <s v="Yes - Outcome Satisfied"/>
    <s v="Henry"/>
    <s v="2024-05-16 00:00:00"/>
    <s v="16-May-2024"/>
    <s v="T1"/>
    <x v="1"/>
    <x v="0"/>
    <s v="Assisted Support"/>
    <s v="Offered Credit"/>
  </r>
  <r>
    <n v="20158919"/>
    <d v="2026-02-01T09:08:30"/>
    <x v="67"/>
    <x v="1"/>
    <n v="100"/>
    <n v="10"/>
    <d v="2026-01-31T18:12:40"/>
    <s v="English"/>
    <s v="Meta Quest"/>
    <x v="2"/>
    <x v="5"/>
    <s v="No"/>
    <n v="1006"/>
    <n v="15541"/>
    <s v="Normal"/>
    <n v="70.5"/>
    <n v="10"/>
    <n v="10"/>
    <n v="10"/>
    <n v="10"/>
    <n v="10"/>
    <n v="10"/>
    <n v="10"/>
    <n v="10"/>
    <n v="10"/>
    <s v="Yes - Outcome Satisfied"/>
    <s v="Alyanna"/>
    <s v="2023-08-16 00:00:00"/>
    <s v="16-Aug-2023"/>
    <s v="T1"/>
    <x v="0"/>
    <x v="0"/>
    <s v="Assisted Support"/>
    <s v="Created RMA"/>
  </r>
  <r>
    <n v="20136878"/>
    <d v="2026-01-28T09:07:32"/>
    <x v="68"/>
    <x v="0"/>
    <n v="-100"/>
    <n v="3"/>
    <d v="2026-01-28T07:03:05"/>
    <s v="English"/>
    <s v="Rayban"/>
    <x v="1"/>
    <x v="7"/>
    <s v="No"/>
    <n v="220"/>
    <n v="17886"/>
    <s v="Normal"/>
    <n v="70.5"/>
    <n v="3"/>
    <n v="3"/>
    <n v="5"/>
    <n v="3"/>
    <n v="3"/>
    <n v="2"/>
    <n v="3"/>
    <n v="2"/>
    <n v="5"/>
    <s v="No - Inquiry Unresolved"/>
    <s v="Levi"/>
    <s v="2024-04-08 00:00:00"/>
    <s v="08-Apr-2024"/>
    <s v="T1"/>
    <x v="1"/>
    <x v="1"/>
    <s v="Assisted Support"/>
    <s v="Unresponsive"/>
  </r>
  <r>
    <n v="20158389"/>
    <d v="2026-02-01T09:05:37"/>
    <x v="69"/>
    <x v="1"/>
    <n v="100"/>
    <n v="10"/>
    <d v="2026-01-31T23:43:00"/>
    <s v="English"/>
    <s v="Meta Quest"/>
    <x v="1"/>
    <x v="5"/>
    <s v="Yes"/>
    <n v="21"/>
    <n v="75"/>
    <s v="Normal"/>
    <n v="70.5"/>
    <n v="10"/>
    <n v="10"/>
    <n v="10"/>
    <n v="10"/>
    <n v="10"/>
    <n v="10"/>
    <n v="10"/>
    <n v="10"/>
    <n v="10"/>
    <s v="Yes - Outcome Satisfied"/>
    <s v="Rey"/>
    <s v="2024-10-15 00:00:00"/>
    <s v="15-Oct-2024"/>
    <s v="T1"/>
    <x v="0"/>
    <x v="0"/>
    <s v="Assisted Support"/>
    <s v="Created RMA"/>
  </r>
  <r>
    <n v="20158487"/>
    <d v="2026-02-01T09:06:10"/>
    <x v="70"/>
    <x v="0"/>
    <n v="-100"/>
    <n v="0"/>
    <d v="2026-02-01T13:02:36"/>
    <s v="English (United Kingdom)"/>
    <s v="Meta Quest"/>
    <x v="2"/>
    <x v="8"/>
    <s v="No"/>
    <n v="545"/>
    <n v="14108"/>
    <s v="Normal"/>
    <n v="70.5"/>
    <n v="0"/>
    <n v="0"/>
    <n v="1"/>
    <n v="0"/>
    <n v="0"/>
    <n v="0"/>
    <n v="0"/>
    <n v="0"/>
    <n v="0"/>
    <s v="No - Inquiry Unresolved"/>
    <s v="Light"/>
    <s v="2021-10-25 00:00:00"/>
    <s v="25-Oct-2021"/>
    <s v="T2"/>
    <x v="0"/>
    <x v="1"/>
    <s v="Assisted Support"/>
    <s v="Unresponsive"/>
  </r>
  <r>
    <n v="20158464"/>
    <d v="2026-02-01T09:06:03"/>
    <x v="71"/>
    <x v="0"/>
    <n v="-100"/>
    <n v="1"/>
    <d v="2026-02-01T13:03:55"/>
    <s v="English"/>
    <s v="Meta Quest"/>
    <x v="2"/>
    <x v="3"/>
    <s v="No"/>
    <n v="408"/>
    <n v="14743"/>
    <s v="Normal"/>
    <n v="70.5"/>
    <n v="1"/>
    <n v="1"/>
    <n v="1"/>
    <n v="1"/>
    <n v="1"/>
    <n v="1"/>
    <n v="1"/>
    <n v="1"/>
    <n v="1"/>
    <s v="No - Inquiry Unresolved"/>
    <s v="Cia"/>
    <s v="2024-10-07 00:00:00"/>
    <s v="07-Oct-2024"/>
    <s v="T1"/>
    <x v="0"/>
    <x v="0"/>
    <s v="Assisted Support"/>
    <s v="Answered Question"/>
  </r>
  <r>
    <n v="20157735"/>
    <d v="2026-02-01T09:02:32"/>
    <x v="72"/>
    <x v="1"/>
    <n v="100"/>
    <n v="10"/>
    <d v="2026-02-01T15:30:44"/>
    <s v="English"/>
    <s v="Meta Quest"/>
    <x v="1"/>
    <x v="4"/>
    <s v="Yes"/>
    <n v="20"/>
    <n v="75"/>
    <s v="Normal"/>
    <n v="70.5"/>
    <n v="10"/>
    <n v="10"/>
    <n v="10"/>
    <n v="10"/>
    <n v="10"/>
    <n v="10"/>
    <n v="10"/>
    <n v="10"/>
    <n v="10"/>
    <s v="Yes - Outcome Satisfied"/>
    <s v="Greyz"/>
    <s v="2024-09-09 00:00:00"/>
    <s v="09-Sep-2024"/>
    <s v="T1"/>
    <x v="1"/>
    <x v="0"/>
    <s v="Assisted Support"/>
    <s v="Troubleshooting Successful"/>
  </r>
  <r>
    <n v="20158682"/>
    <d v="2026-02-01T09:07:17"/>
    <x v="73"/>
    <x v="0"/>
    <n v="-100"/>
    <n v="3"/>
    <d v="2026-02-01T12:03:18"/>
    <s v="English"/>
    <s v="Meta Quest"/>
    <x v="1"/>
    <x v="2"/>
    <s v="No"/>
    <n v="90"/>
    <n v="13804"/>
    <s v="Normal"/>
    <n v="70.5"/>
    <n v="0"/>
    <n v="3"/>
    <n v="7"/>
    <s v="N/A"/>
    <n v="7"/>
    <n v="3"/>
    <n v="7"/>
    <n v="0"/>
    <n v="0"/>
    <s v="No - Inquiry Unresolved"/>
    <s v="Cara"/>
    <s v="2023-12-20 00:00:00"/>
    <s v="20-Dec-2023"/>
    <s v="T1"/>
    <x v="1"/>
    <x v="1"/>
    <s v="Assisted Support"/>
    <s v="Unresponsive"/>
  </r>
  <r>
    <n v="20157495"/>
    <d v="2026-02-01T09:01:19"/>
    <x v="74"/>
    <x v="1"/>
    <n v="100"/>
    <n v="10"/>
    <d v="2026-02-01T16:12:10"/>
    <s v="English"/>
    <s v="Meta Quest"/>
    <x v="2"/>
    <x v="0"/>
    <s v="No"/>
    <n v="483"/>
    <n v="1419"/>
    <s v="Normal"/>
    <n v="70.5"/>
    <n v="10"/>
    <n v="10"/>
    <n v="10"/>
    <n v="10"/>
    <n v="10"/>
    <n v="10"/>
    <n v="10"/>
    <n v="10"/>
    <n v="10"/>
    <s v="Yes - Outcome Satisfied"/>
    <s v="Sette"/>
    <s v="2024-09-01 00:00:00"/>
    <s v="01-Sep-2024"/>
    <s v="T1"/>
    <x v="0"/>
    <x v="0"/>
    <s v="Assisted Support"/>
    <s v="Troubleshooting Successful"/>
  </r>
  <r>
    <n v="20158956"/>
    <d v="2026-02-01T09:22:14"/>
    <x v="75"/>
    <x v="1"/>
    <n v="100"/>
    <n v="10"/>
    <d v="2026-02-01T17:21:26"/>
    <s v="English"/>
    <s v="Meta Quest"/>
    <x v="3"/>
    <x v="3"/>
    <s v="No"/>
    <n v="6"/>
    <n v="6"/>
    <s v="Outlier"/>
    <n v="70.5"/>
    <n v="10"/>
    <n v="10"/>
    <n v="10"/>
    <n v="10"/>
    <n v="10"/>
    <n v="10"/>
    <n v="10"/>
    <n v="10"/>
    <n v="10"/>
    <s v="Yes - Outcome Satisfied"/>
    <s v="Henry"/>
    <s v="2024-05-16 00:00:00"/>
    <s v="16-May-2024"/>
    <s v="T1"/>
    <x v="1"/>
    <x v="0"/>
    <s v="Assisted Support"/>
    <s v="Offered Refund"/>
  </r>
  <r>
    <n v="20158170"/>
    <d v="2026-02-01T09:04:35"/>
    <x v="76"/>
    <x v="2"/>
    <n v="0"/>
    <n v="8"/>
    <d v="2026-02-01T02:05:42"/>
    <s v="English"/>
    <s v="Meta Quest"/>
    <x v="1"/>
    <x v="7"/>
    <s v="Yes"/>
    <n v="23"/>
    <n v="65"/>
    <s v="Outlier"/>
    <n v="70.5"/>
    <n v="8"/>
    <n v="7"/>
    <n v="9"/>
    <n v="8"/>
    <n v="8"/>
    <n v="8"/>
    <n v="8"/>
    <n v="7"/>
    <n v="5"/>
    <s v="Yes - Outcome Not Satisfied"/>
    <s v="Simon"/>
    <s v="2023-07-31 00:00:00"/>
    <s v="31-Jul-2023"/>
    <s v="T1"/>
    <x v="1"/>
    <x v="0"/>
    <s v="Assisted Support"/>
    <s v="Answered Question"/>
  </r>
  <r>
    <n v="20158193"/>
    <d v="2026-02-01T09:04:42"/>
    <x v="77"/>
    <x v="1"/>
    <n v="100"/>
    <n v="10"/>
    <d v="2026-02-01T06:44:44"/>
    <s v="English"/>
    <s v="Meta Quest"/>
    <x v="1"/>
    <x v="3"/>
    <s v="No"/>
    <n v="439"/>
    <n v="6434"/>
    <s v="Normal"/>
    <n v="70.5"/>
    <n v="10"/>
    <n v="10"/>
    <n v="10"/>
    <n v="10"/>
    <n v="10"/>
    <n v="10"/>
    <n v="10"/>
    <n v="10"/>
    <n v="10"/>
    <s v="Yes - Outcome Satisfied"/>
    <s v="Sarah"/>
    <s v="2023-06-13 00:00:00"/>
    <s v="13-Jun-2023"/>
    <s v="T1"/>
    <x v="1"/>
    <x v="0"/>
    <s v="Assisted Support"/>
    <s v="Troubleshooting Successful"/>
  </r>
  <r>
    <n v="20136971"/>
    <d v="2026-01-28T09:08:01"/>
    <x v="78"/>
    <x v="1"/>
    <n v="100"/>
    <n v="9"/>
    <d v="2026-01-27T19:02:29"/>
    <s v="English"/>
    <s v="Meta Quest"/>
    <x v="0"/>
    <x v="0"/>
    <s v="No"/>
    <n v="1"/>
    <n v="28756"/>
    <s v="Normal"/>
    <n v="70.5"/>
    <n v="9"/>
    <n v="9"/>
    <n v="9"/>
    <n v="9"/>
    <n v="9"/>
    <n v="9"/>
    <n v="9"/>
    <n v="9"/>
    <n v="8"/>
    <s v="Yes - Outcome Satisfied"/>
    <s v="Mar"/>
    <s v="2023-09-26 00:00:00"/>
    <s v="26-Sep-2023"/>
    <s v="T2"/>
    <x v="0"/>
    <x v="0"/>
    <s v="Assisted Support"/>
    <s v="Escalated"/>
  </r>
  <r>
    <n v="20136849"/>
    <d v="2026-01-28T09:07:24"/>
    <x v="79"/>
    <x v="2"/>
    <n v="0"/>
    <n v="8"/>
    <d v="2026-01-28T00:02:33"/>
    <s v="English"/>
    <s v="Meta Quest"/>
    <x v="2"/>
    <x v="6"/>
    <s v="No"/>
    <n v="144"/>
    <n v="13416"/>
    <s v="Normal"/>
    <n v="70.5"/>
    <n v="8"/>
    <n v="9"/>
    <n v="9"/>
    <n v="9"/>
    <n v="9"/>
    <n v="9"/>
    <n v="9"/>
    <n v="9"/>
    <n v="9"/>
    <s v="Yes - Outcome Satisfied"/>
    <s v="Aiden"/>
    <s v="2024-04-08 00:00:00"/>
    <s v="08-Apr-2024"/>
    <s v="T1"/>
    <x v="1"/>
    <x v="1"/>
    <s v="Assisted Support"/>
    <s v="Unresponsive"/>
  </r>
  <r>
    <n v="20136683"/>
    <d v="2026-01-28T09:06:26"/>
    <x v="80"/>
    <x v="1"/>
    <n v="100"/>
    <n v="10"/>
    <d v="2026-01-28T08:53:02"/>
    <s v="English"/>
    <s v="Meta Quest"/>
    <x v="1"/>
    <x v="0"/>
    <s v="No"/>
    <n v="880"/>
    <n v="19597"/>
    <s v="Normal"/>
    <n v="70.5"/>
    <n v="10"/>
    <n v="10"/>
    <n v="10"/>
    <n v="10"/>
    <n v="10"/>
    <n v="10"/>
    <n v="10"/>
    <n v="10"/>
    <n v="10"/>
    <s v="Yes - Outcome Satisfied"/>
    <s v="Precious"/>
    <s v="2023-11-20 00:00:00"/>
    <s v="20-Nov-2023"/>
    <s v="Supervisor"/>
    <x v="0"/>
    <x v="0"/>
    <s v="Assisted Support"/>
    <s v="Answered Question"/>
  </r>
  <r>
    <n v="20158161"/>
    <d v="2026-02-01T09:04:32"/>
    <x v="81"/>
    <x v="1"/>
    <n v="100"/>
    <n v="10"/>
    <d v="2026-01-31T19:02:43"/>
    <s v="English"/>
    <s v="Meta Quest"/>
    <x v="1"/>
    <x v="0"/>
    <s v="Yes"/>
    <n v="11"/>
    <n v="38"/>
    <s v="Outlier"/>
    <n v="70.5"/>
    <n v="10"/>
    <n v="10"/>
    <n v="10"/>
    <n v="10"/>
    <n v="10"/>
    <n v="10"/>
    <n v="10"/>
    <n v="10"/>
    <n v="10"/>
    <s v="Yes - Outcome Satisfied"/>
    <s v="Paulina"/>
    <s v="2023-06-13 00:00:00"/>
    <s v="13-Jun-2023"/>
    <s v="T1"/>
    <x v="1"/>
    <x v="0"/>
    <s v="Assisted Support"/>
    <s v="Offered Credit"/>
  </r>
  <r>
    <n v="20158777"/>
    <d v="2026-02-01T09:07:45"/>
    <x v="82"/>
    <x v="1"/>
    <n v="100"/>
    <n v="10"/>
    <d v="2026-02-01T17:06:15"/>
    <s v="English"/>
    <s v="Meta Quest"/>
    <x v="3"/>
    <x v="4"/>
    <s v="No"/>
    <n v="54"/>
    <n v="1455"/>
    <s v="Normal"/>
    <n v="70.5"/>
    <n v="9"/>
    <n v="10"/>
    <n v="9"/>
    <n v="10"/>
    <n v="9"/>
    <n v="8"/>
    <n v="9"/>
    <n v="9"/>
    <n v="9"/>
    <s v="Yes - Outcome Satisfied"/>
    <s v="Yvette"/>
    <s v="2022-09-21 00:00:00"/>
    <s v="21-Sep-2022"/>
    <s v="T1"/>
    <x v="1"/>
    <x v="0"/>
    <s v="Assisted Support"/>
    <s v="Troubleshooting Successful"/>
  </r>
  <r>
    <n v="20157798"/>
    <d v="2026-02-01T09:02:51"/>
    <x v="83"/>
    <x v="1"/>
    <n v="100"/>
    <n v="10"/>
    <d v="2026-02-01T15:21:12"/>
    <s v="English"/>
    <s v="Meta Quest"/>
    <x v="2"/>
    <x v="3"/>
    <s v="No"/>
    <n v="45"/>
    <n v="359"/>
    <s v="Normal"/>
    <n v="70.5"/>
    <n v="10"/>
    <n v="10"/>
    <n v="10"/>
    <n v="10"/>
    <n v="10"/>
    <n v="10"/>
    <n v="10"/>
    <n v="10"/>
    <n v="10"/>
    <m/>
    <s v="Joyce"/>
    <s v="2023-06-13 00:00:00"/>
    <s v="13-Jun-2023"/>
    <s v="T1"/>
    <x v="1"/>
    <x v="0"/>
    <s v="Assisted Support"/>
    <s v="Offered Refund"/>
  </r>
  <r>
    <n v="20157931"/>
    <d v="2026-02-01T09:03:29"/>
    <x v="84"/>
    <x v="1"/>
    <n v="100"/>
    <n v="10"/>
    <d v="2026-02-01T13:12:48"/>
    <s v="English (United Kingdom)"/>
    <s v="Meta Quest"/>
    <x v="1"/>
    <x v="3"/>
    <s v="Yes"/>
    <n v="11"/>
    <n v="29"/>
    <s v="Outlier"/>
    <n v="70.5"/>
    <n v="10"/>
    <n v="10"/>
    <n v="10"/>
    <n v="10"/>
    <n v="10"/>
    <n v="10"/>
    <n v="10"/>
    <n v="10"/>
    <n v="10"/>
    <s v="Yes - Outcome Satisfied"/>
    <s v="Greyz"/>
    <s v="2024-09-09 00:00:00"/>
    <s v="09-Sep-2024"/>
    <s v="T1"/>
    <x v="1"/>
    <x v="0"/>
    <s v="Assisted Support"/>
    <s v="Offered Credit"/>
  </r>
  <r>
    <n v="20135745"/>
    <d v="2026-01-28T09:01:59"/>
    <x v="84"/>
    <x v="1"/>
    <n v="100"/>
    <n v="9"/>
    <d v="2026-01-28T16:48:23"/>
    <s v="English (United Kingdom)"/>
    <s v="Meta Quest"/>
    <x v="1"/>
    <x v="8"/>
    <s v="No"/>
    <n v="57"/>
    <n v="910"/>
    <s v="Normal"/>
    <n v="70.5"/>
    <n v="9"/>
    <n v="9"/>
    <n v="9"/>
    <n v="9"/>
    <n v="9"/>
    <n v="9"/>
    <n v="9"/>
    <n v="9"/>
    <n v="7"/>
    <s v="Yes - Outcome Satisfied"/>
    <s v="Greyz"/>
    <s v="2024-09-09 00:00:00"/>
    <s v="09-Sep-2024"/>
    <s v="T1"/>
    <x v="1"/>
    <x v="0"/>
    <s v="Assisted Support"/>
    <s v="Offered Credit"/>
  </r>
  <r>
    <n v="20135927"/>
    <d v="2026-01-28T09:02:52"/>
    <x v="85"/>
    <x v="0"/>
    <n v="-100"/>
    <n v="1"/>
    <d v="2026-01-28T14:19:34"/>
    <s v="Japanese"/>
    <s v="Meta Quest"/>
    <x v="2"/>
    <x v="1"/>
    <s v="No"/>
    <n v="121"/>
    <n v="1190"/>
    <s v="Normal"/>
    <n v="70.5"/>
    <n v="10"/>
    <n v="9"/>
    <n v="9"/>
    <n v="8"/>
    <n v="9"/>
    <n v="9"/>
    <n v="9"/>
    <n v="9"/>
    <n v="10"/>
    <s v="Yes - Outcome Satisfied"/>
    <s v="川崎"/>
    <s v="2023-08-21 00:00:00"/>
    <s v="21-Aug-2023"/>
    <s v="T1"/>
    <x v="0"/>
    <x v="0"/>
    <s v="Assisted Support"/>
    <s v="Created RMA"/>
  </r>
  <r>
    <n v="20135420"/>
    <d v="2026-01-28T09:00:31"/>
    <x v="86"/>
    <x v="2"/>
    <n v="0"/>
    <n v="8"/>
    <d v="2026-01-27T17:07:43"/>
    <s v="English (United Kingdom)"/>
    <s v="Meta Quest"/>
    <x v="2"/>
    <x v="3"/>
    <s v="No"/>
    <n v="1875"/>
    <n v="52721"/>
    <s v="Outlier"/>
    <n v="70.5"/>
    <n v="9"/>
    <n v="10"/>
    <n v="10"/>
    <n v="6"/>
    <n v="10"/>
    <n v="10"/>
    <n v="10"/>
    <n v="10"/>
    <n v="2"/>
    <s v="Yes - Outcome Satisfied"/>
    <s v="Hanz"/>
    <s v="2025-06-10 00:00:00"/>
    <s v="10-Jun-2025"/>
    <s v="T1"/>
    <x v="0"/>
    <x v="0"/>
    <s v="Assisted Support"/>
    <s v="Offered Credit"/>
  </r>
  <r>
    <n v="20135561"/>
    <d v="2026-01-28T09:01:09"/>
    <x v="87"/>
    <x v="1"/>
    <n v="100"/>
    <n v="9"/>
    <d v="2026-01-28T11:01:40"/>
    <s v="English"/>
    <s v="Meta Quest"/>
    <x v="2"/>
    <x v="9"/>
    <s v="No"/>
    <n v="600"/>
    <n v="6172"/>
    <s v="Normal"/>
    <n v="70.5"/>
    <n v="8"/>
    <n v="9"/>
    <n v="10"/>
    <n v="8"/>
    <n v="10"/>
    <n v="9"/>
    <n v="9"/>
    <n v="9"/>
    <n v="9"/>
    <s v="Yes - Outcome Satisfied"/>
    <s v="Bree"/>
    <s v="2024-04-08 00:00:00"/>
    <s v="08-Apr-2024"/>
    <s v="T1"/>
    <x v="1"/>
    <x v="0"/>
    <s v="Assisted Support"/>
    <s v="Created RMA"/>
  </r>
  <r>
    <n v="20131181"/>
    <d v="2026-01-27T09:06:37"/>
    <x v="88"/>
    <x v="1"/>
    <n v="100"/>
    <n v="9"/>
    <d v="2026-01-27T00:50:14"/>
    <s v="English"/>
    <s v="Meta Quest"/>
    <x v="1"/>
    <x v="1"/>
    <s v="No"/>
    <n v="954"/>
    <n v="15022"/>
    <s v="Normal"/>
    <n v="70.5"/>
    <n v="8"/>
    <n v="7"/>
    <n v="5"/>
    <n v="2"/>
    <n v="4"/>
    <n v="5"/>
    <n v="8"/>
    <n v="10"/>
    <n v="1"/>
    <s v="Yes - Outcome Satisfied"/>
    <s v="Olivia"/>
    <s v="2024-05-16 00:00:00"/>
    <s v="16-May-2024"/>
    <s v="T1"/>
    <x v="1"/>
    <x v="0"/>
    <s v="Assisted Support"/>
    <s v="Created RMA"/>
  </r>
  <r>
    <n v="20157198"/>
    <d v="2026-02-01T08:42:01"/>
    <x v="89"/>
    <x v="1"/>
    <n v="100"/>
    <n v="10"/>
    <d v="2026-02-01T16:40:51"/>
    <s v="English"/>
    <s v="Meta Quest"/>
    <x v="3"/>
    <x v="5"/>
    <s v="No"/>
    <n v="51"/>
    <n v="56"/>
    <s v="Outlier"/>
    <n v="70.5"/>
    <n v="10"/>
    <n v="10"/>
    <n v="10"/>
    <n v="10"/>
    <n v="10"/>
    <n v="10"/>
    <n v="10"/>
    <n v="10"/>
    <n v="10"/>
    <s v="Yes - Outcome Satisfied"/>
    <s v="Brian"/>
    <s v="2024-04-12 00:00:00"/>
    <s v="12-Apr-2024"/>
    <s v="T1"/>
    <x v="1"/>
    <x v="0"/>
    <s v="Assisted Support"/>
    <s v="Created RMA"/>
  </r>
  <r>
    <n v="20152401"/>
    <d v="2026-01-31T09:01:37"/>
    <x v="90"/>
    <x v="1"/>
    <n v="100"/>
    <n v="9"/>
    <d v="2026-01-31T00:25:27"/>
    <s v="English"/>
    <s v="Meta Quest"/>
    <x v="3"/>
    <x v="10"/>
    <s v="No"/>
    <n v="126"/>
    <n v="126"/>
    <s v="Normal"/>
    <n v="70.5"/>
    <n v="10"/>
    <n v="10"/>
    <n v="10"/>
    <n v="10"/>
    <n v="10"/>
    <n v="10"/>
    <n v="10"/>
    <n v="10"/>
    <n v="10"/>
    <s v="Yes - Outcome Satisfied"/>
    <s v="Amanda"/>
    <s v="2024-04-12 00:00:00"/>
    <s v="12-Apr-2024"/>
    <s v="T1"/>
    <x v="1"/>
    <x v="0"/>
    <s v="Assisted Support"/>
    <s v="Offered Credit"/>
  </r>
  <r>
    <n v="20147455"/>
    <d v="2026-01-30T09:04:00"/>
    <x v="91"/>
    <x v="2"/>
    <n v="0"/>
    <n v="8"/>
    <d v="2026-01-30T13:49:17"/>
    <s v="Japanese"/>
    <s v="Meta Quest"/>
    <x v="1"/>
    <x v="9"/>
    <s v="Yes"/>
    <n v="0"/>
    <n v="32"/>
    <s v="Outlier"/>
    <n v="70.5"/>
    <n v="10"/>
    <n v="9"/>
    <s v="N/A"/>
    <s v="N/A"/>
    <n v="10"/>
    <n v="10"/>
    <n v="10"/>
    <n v="10"/>
    <n v="10"/>
    <s v="Yes - Outcome Satisfied"/>
    <s v="川崎"/>
    <s v="2023-08-21 00:00:00"/>
    <s v="21-Aug-2023"/>
    <s v="T1"/>
    <x v="0"/>
    <x v="0"/>
    <s v="Assisted Support"/>
    <s v="Created RMA"/>
  </r>
  <r>
    <n v="20152211"/>
    <d v="2026-01-31T09:00:45"/>
    <x v="92"/>
    <x v="1"/>
    <n v="100"/>
    <n v="10"/>
    <d v="2026-01-31T13:05:37"/>
    <s v="English (United Kingdom)"/>
    <s v="Meta Quest"/>
    <x v="2"/>
    <x v="3"/>
    <s v="No"/>
    <n v="1324"/>
    <n v="49808"/>
    <s v="Outlier"/>
    <n v="70.5"/>
    <n v="10"/>
    <n v="10"/>
    <n v="10"/>
    <n v="10"/>
    <n v="10"/>
    <n v="10"/>
    <n v="10"/>
    <n v="10"/>
    <n v="4"/>
    <s v="Yes - Outcome Satisfied"/>
    <s v="John"/>
    <s v="2023-10-27 00:00:00"/>
    <s v="27-Oct-2023"/>
    <s v="Supervisor"/>
    <x v="0"/>
    <x v="0"/>
    <s v="Assisted Support"/>
    <s v="Escalated"/>
  </r>
  <r>
    <n v="20156858"/>
    <d v="2026-02-01T06:43:10"/>
    <x v="93"/>
    <x v="1"/>
    <n v="100"/>
    <n v="10"/>
    <d v="2026-02-01T14:41:55"/>
    <s v="English"/>
    <s v="Meta Quest"/>
    <x v="3"/>
    <x v="5"/>
    <s v="No"/>
    <n v="24"/>
    <n v="24"/>
    <s v="Outlier"/>
    <n v="70.5"/>
    <n v="10"/>
    <n v="10"/>
    <n v="10"/>
    <n v="10"/>
    <n v="10"/>
    <n v="10"/>
    <n v="10"/>
    <n v="10"/>
    <n v="10"/>
    <s v="Yes - Outcome Satisfied"/>
    <s v="Henry"/>
    <s v="2024-05-16 00:00:00"/>
    <s v="16-May-2024"/>
    <s v="T1"/>
    <x v="1"/>
    <x v="0"/>
    <s v="Assisted Support"/>
    <s v="Created RMA"/>
  </r>
  <r>
    <n v="20156794"/>
    <d v="2026-02-01T06:11:42"/>
    <x v="94"/>
    <x v="1"/>
    <n v="100"/>
    <n v="10"/>
    <d v="2026-02-01T14:10:35"/>
    <s v="English"/>
    <s v="Meta Quest"/>
    <x v="3"/>
    <x v="3"/>
    <s v="No"/>
    <n v="14"/>
    <n v="15"/>
    <s v="Outlier"/>
    <n v="70.5"/>
    <n v="10"/>
    <n v="10"/>
    <n v="10"/>
    <n v="10"/>
    <n v="10"/>
    <n v="10"/>
    <n v="10"/>
    <n v="10"/>
    <n v="10"/>
    <s v="Yes - Outcome Satisfied"/>
    <s v="Katy"/>
    <s v="2024-04-08 00:00:00"/>
    <s v="08-Apr-2024"/>
    <s v="T1"/>
    <x v="1"/>
    <x v="0"/>
    <s v="Assisted Support"/>
    <s v="Offered Refund"/>
  </r>
  <r>
    <n v="20148021"/>
    <d v="2026-01-30T09:06:45"/>
    <x v="95"/>
    <x v="0"/>
    <n v="-100"/>
    <n v="0"/>
    <d v="2026-01-29T20:02:24"/>
    <s v="English (United Kingdom)"/>
    <s v="Meta Quest"/>
    <x v="2"/>
    <x v="4"/>
    <s v="No"/>
    <n v="1560"/>
    <n v="20321"/>
    <s v="Normal"/>
    <n v="70.5"/>
    <n v="0"/>
    <n v="0"/>
    <n v="0"/>
    <n v="0"/>
    <n v="0"/>
    <n v="0"/>
    <n v="0"/>
    <n v="0"/>
    <n v="0"/>
    <s v="No - Inquiry Unresolved"/>
    <s v="JR"/>
    <s v="2025-06-10 00:00:00"/>
    <s v="10-Jun-2025"/>
    <s v="T1"/>
    <x v="0"/>
    <x v="1"/>
    <s v="Assisted Support"/>
    <s v="Unresponsive"/>
  </r>
  <r>
    <n v="20152430"/>
    <d v="2026-01-31T09:01:48"/>
    <x v="96"/>
    <x v="2"/>
    <n v="0"/>
    <n v="8"/>
    <d v="2026-01-31T11:37:54"/>
    <s v="English (United Kingdom)"/>
    <s v="Meta Quest"/>
    <x v="2"/>
    <x v="1"/>
    <s v="No"/>
    <n v="629"/>
    <n v="4382"/>
    <s v="Normal"/>
    <n v="70.5"/>
    <n v="7"/>
    <n v="8"/>
    <n v="8"/>
    <n v="8"/>
    <n v="7"/>
    <n v="8"/>
    <n v="8"/>
    <n v="8"/>
    <n v="6"/>
    <s v="Yes - Outcome Satisfied"/>
    <s v="Sherlyn"/>
    <s v="2023-11-20 00:00:00"/>
    <s v="20-Nov-2023"/>
    <s v="T1"/>
    <x v="0"/>
    <x v="0"/>
    <s v="Assisted Support"/>
    <s v="Created RMA"/>
  </r>
  <r>
    <n v="20129820"/>
    <d v="2026-01-27T09:00:33"/>
    <x v="97"/>
    <x v="1"/>
    <n v="100"/>
    <n v="10"/>
    <d v="2026-01-27T11:58:22"/>
    <s v="English (United Kingdom)"/>
    <s v="Meta Quest"/>
    <x v="2"/>
    <x v="3"/>
    <s v="No"/>
    <n v="421"/>
    <n v="8697"/>
    <s v="Normal"/>
    <n v="70.5"/>
    <n v="10"/>
    <n v="10"/>
    <n v="10"/>
    <n v="10"/>
    <n v="10"/>
    <n v="10"/>
    <n v="10"/>
    <n v="10"/>
    <n v="10"/>
    <s v="Yes - Outcome Satisfied"/>
    <s v="Ru"/>
    <s v="2024-08-30 00:00:00"/>
    <s v="30-Aug-2024"/>
    <s v="T1"/>
    <x v="0"/>
    <x v="0"/>
    <s v="Assisted Support"/>
    <s v="Offered Refund"/>
  </r>
  <r>
    <n v="20152198"/>
    <d v="2026-01-31T09:00:42"/>
    <x v="98"/>
    <x v="0"/>
    <n v="-100"/>
    <n v="0"/>
    <d v="2026-01-30T22:00:46"/>
    <s v="English (United Kingdom)"/>
    <s v="Meta Quest"/>
    <x v="2"/>
    <x v="8"/>
    <s v="No"/>
    <n v="106"/>
    <n v="13591"/>
    <s v="Normal"/>
    <n v="70.5"/>
    <n v="0"/>
    <n v="0"/>
    <n v="0"/>
    <n v="0"/>
    <n v="0"/>
    <n v="0"/>
    <n v="0"/>
    <n v="0"/>
    <n v="0"/>
    <s v="No - Inquiry Unresolved"/>
    <s v="Mirul"/>
    <s v="2021-08-02 00:00:00"/>
    <s v="02-Aug-2021"/>
    <s v="T1"/>
    <x v="1"/>
    <x v="1"/>
    <s v="Assisted Support"/>
    <s v="Unresponsive"/>
  </r>
  <r>
    <n v="20151354"/>
    <d v="2026-01-31T02:56:41"/>
    <x v="99"/>
    <x v="2"/>
    <n v="0"/>
    <n v="8"/>
    <d v="2026-01-31T10:55:45"/>
    <s v="English"/>
    <s v="Meta Quest"/>
    <x v="3"/>
    <x v="11"/>
    <s v="No"/>
    <n v="72"/>
    <n v="261"/>
    <s v="Normal"/>
    <n v="70.5"/>
    <n v="10"/>
    <n v="10"/>
    <n v="10"/>
    <s v="N/A"/>
    <n v="10"/>
    <n v="10"/>
    <n v="10"/>
    <n v="10"/>
    <n v="10"/>
    <s v="Yes - Outcome Satisfied"/>
    <s v="Sarah"/>
    <s v="2023-06-13 00:00:00"/>
    <s v="13-Jun-2023"/>
    <s v="T1"/>
    <x v="1"/>
    <x v="0"/>
    <s v="Assisted Support"/>
    <s v="Created RMA"/>
  </r>
  <r>
    <n v="20156147"/>
    <d v="2026-02-01T00:41:39"/>
    <x v="100"/>
    <x v="1"/>
    <n v="100"/>
    <n v="10"/>
    <d v="2026-02-01T08:40:32"/>
    <s v="English"/>
    <s v="Meta Quest"/>
    <x v="3"/>
    <x v="0"/>
    <s v="No"/>
    <n v="15"/>
    <n v="15"/>
    <s v="Outlier"/>
    <n v="70.5"/>
    <n v="10"/>
    <n v="10"/>
    <n v="10"/>
    <n v="10"/>
    <n v="10"/>
    <n v="10"/>
    <n v="10"/>
    <n v="10"/>
    <n v="10"/>
    <s v="Yes - Outcome Satisfied"/>
    <s v="Ree"/>
    <s v="2024-03-31 00:00:00"/>
    <s v="31-Mar-2024"/>
    <s v="T1"/>
    <x v="1"/>
    <x v="0"/>
    <s v="Assisted Support"/>
    <s v="Offered Credi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63BE35-1B5D-4252-8B01-926F74DFF1AA}" name="PivotTable3"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3">
  <location ref="A61:B74" firstHeaderRow="1" firstDataRow="1" firstDataCol="1"/>
  <pivotFields count="34">
    <pivotField compact="0" outline="0" showAll="0"/>
    <pivotField compact="0" numFmtId="164" outline="0" showAll="0"/>
    <pivotField compact="0" numFmtId="164" outline="0" showAll="0">
      <items count="102">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compact="0" outline="0" showAll="0">
      <items count="4">
        <item x="0"/>
        <item x="2"/>
        <item x="1"/>
        <item t="default"/>
      </items>
    </pivotField>
    <pivotField compact="0" numFmtId="1" outline="0" showAll="0"/>
    <pivotField compact="0" outline="0" showAll="0"/>
    <pivotField compact="0" numFmtId="164" outline="0" showAll="0"/>
    <pivotField compact="0" outline="0" showAll="0"/>
    <pivotField compact="0" outline="0" showAll="0"/>
    <pivotField compact="0" outline="0" showAll="0">
      <items count="5">
        <item x="1"/>
        <item x="2"/>
        <item x="0"/>
        <item x="3"/>
        <item t="default"/>
      </items>
    </pivotField>
    <pivotField axis="axisRow" compact="0" outline="0" showAll="0" sortType="ascending">
      <items count="13">
        <item x="11"/>
        <item x="5"/>
        <item x="3"/>
        <item x="4"/>
        <item x="10"/>
        <item x="7"/>
        <item x="0"/>
        <item x="2"/>
        <item x="6"/>
        <item x="9"/>
        <item x="8"/>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numFmtId="1" outline="0" showAll="0"/>
    <pivotField compact="0"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items count="3">
        <item x="0"/>
        <item x="1"/>
        <item t="default"/>
      </items>
    </pivotField>
    <pivotField compact="0" outline="0" showAll="0"/>
    <pivotField compact="0" outline="0" showAll="0"/>
  </pivotFields>
  <rowFields count="1">
    <field x="10"/>
  </rowFields>
  <rowItems count="13">
    <i>
      <x v="4"/>
    </i>
    <i>
      <x/>
    </i>
    <i>
      <x v="9"/>
    </i>
    <i>
      <x v="1"/>
    </i>
    <i>
      <x v="11"/>
    </i>
    <i>
      <x v="10"/>
    </i>
    <i>
      <x v="5"/>
    </i>
    <i>
      <x v="6"/>
    </i>
    <i>
      <x v="2"/>
    </i>
    <i>
      <x v="3"/>
    </i>
    <i>
      <x v="8"/>
    </i>
    <i>
      <x v="7"/>
    </i>
    <i t="grand">
      <x/>
    </i>
  </rowItems>
  <colItems count="1">
    <i/>
  </colItems>
  <dataFields count="1">
    <dataField name="Average of Full Resolution Time" fld="13" subtotal="average" baseField="30" baseItem="1" numFmtId="1"/>
  </dataFields>
  <chartFormats count="2">
    <chartFormat chart="6"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6C8A6C-97C4-44A2-BB1D-BFD2014546AC}" name="PivotTable1"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1">
  <location ref="A53:B58" firstHeaderRow="1" firstDataRow="1" firstDataCol="1"/>
  <pivotFields count="34">
    <pivotField compact="0" outline="0" showAll="0"/>
    <pivotField compact="0" numFmtId="164" outline="0" showAll="0"/>
    <pivotField compact="0" numFmtId="164" outline="0" showAll="0">
      <items count="102">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compact="0" outline="0" showAll="0">
      <items count="4">
        <item x="0"/>
        <item x="2"/>
        <item x="1"/>
        <item t="default"/>
      </items>
    </pivotField>
    <pivotField compact="0" numFmtId="1" outline="0" showAll="0"/>
    <pivotField compact="0" outline="0" showAll="0"/>
    <pivotField compact="0" numFmtId="164" outline="0" showAll="0"/>
    <pivotField compact="0" outline="0" showAll="0"/>
    <pivotField compact="0" outline="0" showAll="0"/>
    <pivotField axis="axisRow" compact="0" outline="0"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dataField="1" compact="0" numFmtId="1" outline="0" showAll="0"/>
    <pivotField compact="0"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items count="3">
        <item x="0"/>
        <item x="1"/>
        <item t="default"/>
      </items>
    </pivotField>
    <pivotField compact="0" outline="0" showAll="0"/>
    <pivotField compact="0" outline="0" showAll="0"/>
  </pivotFields>
  <rowFields count="1">
    <field x="9"/>
  </rowFields>
  <rowItems count="5">
    <i>
      <x v="2"/>
    </i>
    <i>
      <x v="1"/>
    </i>
    <i>
      <x/>
    </i>
    <i>
      <x v="3"/>
    </i>
    <i t="grand">
      <x/>
    </i>
  </rowItems>
  <colItems count="1">
    <i/>
  </colItems>
  <dataFields count="1">
    <dataField name="Average of Full Resolution Time" fld="13" subtotal="average" baseField="30" baseItem="1" numFmtId="1"/>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072363-92A5-4537-8408-69F2539E6CDF}" name="PivotTable19" cacheId="0" dataPosition="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7">
  <location ref="A47:C50" firstHeaderRow="0" firstDataRow="1" firstDataCol="1"/>
  <pivotFields count="34">
    <pivotField compact="0" outline="0" showAll="0"/>
    <pivotField compact="0" numFmtId="164" outline="0" showAll="0"/>
    <pivotField compact="0" numFmtId="164" outline="0" showAll="0">
      <items count="102">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compact="0" outline="0" showAll="0">
      <items count="4">
        <item x="0"/>
        <item x="2"/>
        <item x="1"/>
        <item t="default"/>
      </items>
    </pivotField>
    <pivotField dataField="1" compact="0" numFmtId="1" outline="0" showAll="0"/>
    <pivotField compact="0" outline="0" showAll="0"/>
    <pivotField compact="0" numFmtId="164" outline="0" showAll="0"/>
    <pivotField compact="0" outline="0" showAll="0"/>
    <pivotField compact="0" outline="0" showAll="0"/>
    <pivotField compact="0" outline="0" showAll="0">
      <items count="5">
        <item x="1"/>
        <item x="2"/>
        <item x="0"/>
        <item x="3"/>
        <item t="default"/>
      </items>
    </pivotField>
    <pivotField compact="0" outline="0" showAll="0"/>
    <pivotField compact="0" outline="0" showAll="0"/>
    <pivotField compact="0" outline="0" showAll="0"/>
    <pivotField dataField="1" compact="0" numFmtId="1" outline="0" showAll="0"/>
    <pivotField compact="0"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showAll="0">
      <items count="3">
        <item x="0"/>
        <item x="1"/>
        <item t="default"/>
      </items>
    </pivotField>
    <pivotField compact="0" outline="0" showAll="0"/>
    <pivotField compact="0" outline="0" showAll="0"/>
  </pivotFields>
  <rowFields count="1">
    <field x="30"/>
  </rowFields>
  <rowItems count="3">
    <i>
      <x/>
    </i>
    <i>
      <x v="1"/>
    </i>
    <i t="grand">
      <x/>
    </i>
  </rowItems>
  <colFields count="1">
    <field x="-2"/>
  </colFields>
  <colItems count="2">
    <i>
      <x/>
    </i>
    <i i="1">
      <x v="1"/>
    </i>
  </colItems>
  <dataFields count="2">
    <dataField name="Average of Full Resolution Time" fld="13" subtotal="average" baseField="30" baseItem="1" numFmtId="1"/>
    <dataField name="Average of Net Promoter Score" fld="4" subtotal="average" baseField="30" baseItem="0" numFmtId="2"/>
  </dataField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358ACE-0B62-4C52-8695-13F66E70158F}" name="PivotTable18"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1">
  <location ref="A20:D45" firstHeaderRow="0" firstDataRow="1" firstDataCol="2"/>
  <pivotFields count="34">
    <pivotField dataField="1" compact="0" outline="0" showAll="0"/>
    <pivotField compact="0" numFmtId="164" outline="0" showAll="0"/>
    <pivotField compact="0" numFmtId="164" outline="0" showAll="0">
      <items count="102">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compact="0" outline="0" showAll="0">
      <items count="4">
        <item x="0"/>
        <item x="2"/>
        <item x="1"/>
        <item t="default"/>
      </items>
    </pivotField>
    <pivotField dataField="1" compact="0" numFmtId="1" outline="0" showAll="0"/>
    <pivotField compact="0" outline="0" showAll="0"/>
    <pivotField compact="0" numFmtId="164" outline="0" showAll="0"/>
    <pivotField compact="0" outline="0" showAll="0"/>
    <pivotField compact="0" outline="0" showAll="0"/>
    <pivotField compact="0" outline="0" showAll="0">
      <items count="5">
        <item x="1"/>
        <item x="2"/>
        <item x="0"/>
        <item x="3"/>
        <item t="default"/>
      </items>
    </pivotField>
    <pivotField axis="axisRow" compact="0" outline="0" showAll="0" sortType="descending">
      <items count="13">
        <item x="11"/>
        <item x="5"/>
        <item x="3"/>
        <item x="4"/>
        <item x="10"/>
        <item x="7"/>
        <item x="0"/>
        <item x="2"/>
        <item x="6"/>
        <item x="9"/>
        <item x="8"/>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 outline="0" showAll="0"/>
    <pivotField compact="0"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showAll="0">
      <items count="3">
        <item x="0"/>
        <item x="1"/>
        <item t="default"/>
      </items>
    </pivotField>
    <pivotField compact="0" outline="0" showAll="0"/>
    <pivotField compact="0" outline="0" showAll="0"/>
  </pivotFields>
  <rowFields count="2">
    <field x="30"/>
    <field x="10"/>
  </rowFields>
  <rowItems count="25">
    <i>
      <x/>
      <x v="9"/>
    </i>
    <i r="1">
      <x v="4"/>
    </i>
    <i r="1">
      <x v="2"/>
    </i>
    <i r="1">
      <x v="1"/>
    </i>
    <i r="1">
      <x v="3"/>
    </i>
    <i r="1">
      <x v="6"/>
    </i>
    <i r="1">
      <x v="11"/>
    </i>
    <i r="1">
      <x v="10"/>
    </i>
    <i r="1">
      <x v="8"/>
    </i>
    <i r="1">
      <x/>
    </i>
    <i r="1">
      <x v="7"/>
    </i>
    <i r="1">
      <x v="5"/>
    </i>
    <i t="default">
      <x/>
    </i>
    <i>
      <x v="1"/>
      <x v="8"/>
    </i>
    <i r="1">
      <x v="10"/>
    </i>
    <i r="1">
      <x v="5"/>
    </i>
    <i r="1">
      <x v="1"/>
    </i>
    <i r="1">
      <x v="11"/>
    </i>
    <i r="1">
      <x v="6"/>
    </i>
    <i r="1">
      <x v="2"/>
    </i>
    <i r="1">
      <x v="3"/>
    </i>
    <i r="1">
      <x v="9"/>
    </i>
    <i r="1">
      <x v="7"/>
    </i>
    <i t="default">
      <x v="1"/>
    </i>
    <i t="grand">
      <x/>
    </i>
  </rowItems>
  <colFields count="1">
    <field x="-2"/>
  </colFields>
  <colItems count="2">
    <i>
      <x/>
    </i>
    <i i="1">
      <x v="1"/>
    </i>
  </colItems>
  <dataFields count="2">
    <dataField name="Average NPS" fld="4" subtotal="average" baseField="30" baseItem="1" numFmtId="2"/>
    <dataField name="Survey Count" fld="0" subtotal="count" baseField="30" baseItem="0" numFmtId="1"/>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7AACDA-2D6B-4224-A5C0-D3F3915D44BD}" name="PivotTable17"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2">
  <location ref="A7:D17" firstHeaderRow="0" firstDataRow="1" firstDataCol="2"/>
  <pivotFields count="34">
    <pivotField dataField="1" compact="0" outline="0" showAll="0"/>
    <pivotField compact="0" numFmtId="164" outline="0" showAll="0"/>
    <pivotField compact="0" numFmtId="164" outline="0" showAll="0">
      <items count="102">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compact="0" outline="0" showAll="0">
      <items count="4">
        <item x="0"/>
        <item x="2"/>
        <item x="1"/>
        <item t="default"/>
      </items>
    </pivotField>
    <pivotField dataField="1" compact="0" numFmtId="1" outline="0" showAll="0"/>
    <pivotField compact="0" outline="0" showAll="0"/>
    <pivotField compact="0" numFmtId="164" outline="0" showAll="0"/>
    <pivotField compact="0" outline="0" showAll="0"/>
    <pivotField compact="0" outline="0" showAll="0"/>
    <pivotField axis="axisRow" compact="0" outline="0" showAll="0">
      <items count="5">
        <item x="1"/>
        <item x="2"/>
        <item x="0"/>
        <item x="3"/>
        <item t="default"/>
      </items>
    </pivotField>
    <pivotField compact="0" outline="0" showAll="0"/>
    <pivotField compact="0" outline="0" showAll="0"/>
    <pivotField compact="0" outline="0" showAll="0"/>
    <pivotField compact="0" numFmtId="1" outline="0" showAll="0"/>
    <pivotField compact="0"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showAll="0">
      <items count="3">
        <item x="0"/>
        <item x="1"/>
        <item t="default"/>
      </items>
    </pivotField>
    <pivotField compact="0" outline="0" showAll="0"/>
    <pivotField compact="0" outline="0" showAll="0"/>
  </pivotFields>
  <rowFields count="2">
    <field x="30"/>
    <field x="9"/>
  </rowFields>
  <rowItems count="10">
    <i>
      <x/>
      <x/>
    </i>
    <i r="1">
      <x v="1"/>
    </i>
    <i r="1">
      <x v="3"/>
    </i>
    <i t="default">
      <x/>
    </i>
    <i>
      <x v="1"/>
      <x/>
    </i>
    <i r="1">
      <x v="1"/>
    </i>
    <i r="1">
      <x v="2"/>
    </i>
    <i r="1">
      <x v="3"/>
    </i>
    <i t="default">
      <x v="1"/>
    </i>
    <i t="grand">
      <x/>
    </i>
  </rowItems>
  <colFields count="1">
    <field x="-2"/>
  </colFields>
  <colItems count="2">
    <i>
      <x/>
    </i>
    <i i="1">
      <x v="1"/>
    </i>
  </colItems>
  <dataFields count="2">
    <dataField name="Average of Net Promoter Score" fld="4" subtotal="average" baseField="9" baseItem="0" numFmtId="2"/>
    <dataField name="Count of Case ID" fld="0" subtotal="count" baseField="9" baseItem="0" numFmtId="3"/>
  </dataFields>
  <chartFormats count="2">
    <chartFormat chart="11"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6E0F80-63A9-40F1-9743-91EABD7B732B}" name="PivotTable16"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6">
  <location ref="A2:C5" firstHeaderRow="0" firstDataRow="1" firstDataCol="1"/>
  <pivotFields count="34">
    <pivotField dataField="1" compact="0" outline="0" showAll="0"/>
    <pivotField compact="0" numFmtId="164" outline="0" showAll="0"/>
    <pivotField compact="0" numFmtId="164" outline="0" showAll="0">
      <items count="102">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compact="0" outline="0" showAll="0">
      <items count="4">
        <item x="0"/>
        <item x="2"/>
        <item x="1"/>
        <item t="default"/>
      </items>
    </pivotField>
    <pivotField dataField="1" compact="0" numFmtId="1" outline="0" showAll="0"/>
    <pivotField compact="0" outline="0" showAll="0"/>
    <pivotField compact="0" numFmtId="164" outline="0" showAll="0"/>
    <pivotField compact="0" outline="0" showAll="0"/>
    <pivotField compact="0" outline="0" showAll="0"/>
    <pivotField compact="0" outline="0" showAll="0">
      <items count="5">
        <item x="1"/>
        <item x="2"/>
        <item x="0"/>
        <item x="3"/>
        <item t="default"/>
      </items>
    </pivotField>
    <pivotField compact="0" outline="0" showAll="0"/>
    <pivotField compact="0" outline="0" showAll="0"/>
    <pivotField compact="0" outline="0" showAll="0"/>
    <pivotField compact="0" numFmtId="1" outline="0" showAll="0"/>
    <pivotField compact="0"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showAll="0">
      <items count="3">
        <item x="0"/>
        <item x="1"/>
        <item t="default"/>
      </items>
    </pivotField>
    <pivotField compact="0" outline="0" showAll="0"/>
    <pivotField compact="0" outline="0" showAll="0"/>
  </pivotFields>
  <rowFields count="1">
    <field x="30"/>
  </rowFields>
  <rowItems count="3">
    <i>
      <x/>
    </i>
    <i>
      <x v="1"/>
    </i>
    <i t="grand">
      <x/>
    </i>
  </rowItems>
  <colFields count="1">
    <field x="-2"/>
  </colFields>
  <colItems count="2">
    <i>
      <x/>
    </i>
    <i i="1">
      <x v="1"/>
    </i>
  </colItems>
  <dataFields count="2">
    <dataField name="Average NPS" fld="4" subtotal="average" baseField="30" baseItem="1" numFmtId="2"/>
    <dataField name="Survey Count" fld="0" subtotal="count" baseField="30" baseItem="0" numFmtId="1"/>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 xr10:uid="{E537788F-E079-48E9-BC42-C8040397FB52}" sourceName="Survey">
  <pivotTables>
    <pivotTable tabId="7" name="PivotTable16"/>
    <pivotTable tabId="7" name="PivotTable17"/>
    <pivotTable tabId="7" name="PivotTable18"/>
    <pivotTable tabId="7" name="PivotTable19"/>
    <pivotTable tabId="7" name="PivotTable1"/>
    <pivotTable tabId="7" name="PivotTable3"/>
  </pivotTables>
  <data>
    <tabular pivotCacheId="709699232">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act_Method" xr10:uid="{5F469F5C-FC7A-45EB-80E9-C802FB85C216}" sourceName="Contact Method">
  <pivotTables>
    <pivotTable tabId="7" name="PivotTable16"/>
    <pivotTable tabId="7" name="PivotTable17"/>
    <pivotTable tabId="7" name="PivotTable18"/>
    <pivotTable tabId="7" name="PivotTable19"/>
    <pivotTable tabId="7" name="PivotTable1"/>
    <pivotTable tabId="7" name="PivotTable3"/>
  </pivotTables>
  <data>
    <tabular pivotCacheId="709699232">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_Name" xr10:uid="{C9B7BC74-6930-46AE-B8A1-B2C835CBBBDD}" sourceName="Location Name ">
  <pivotTables>
    <pivotTable tabId="7" name="PivotTable16"/>
    <pivotTable tabId="7" name="PivotTable17"/>
    <pivotTable tabId="7" name="PivotTable18"/>
    <pivotTable tabId="7" name="PivotTable19"/>
    <pivotTable tabId="7" name="PivotTable1"/>
    <pivotTable tabId="7" name="PivotTable3"/>
  </pivotTables>
  <data>
    <tabular pivotCacheId="709699232">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lved_Status" xr10:uid="{B0B445A5-B4AA-4E87-863B-060E7746F040}" sourceName="Solved Status">
  <pivotTables>
    <pivotTable tabId="7" name="PivotTable16"/>
    <pivotTable tabId="7" name="PivotTable17"/>
    <pivotTable tabId="7" name="PivotTable18"/>
    <pivotTable tabId="7" name="PivotTable19"/>
    <pivotTable tabId="7" name="PivotTable1"/>
    <pivotTable tabId="7" name="PivotTable3"/>
  </pivotTables>
  <data>
    <tabular pivotCacheId="70969923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xr10:uid="{512D1B24-C734-4E4C-BD31-DB8090ADBECE}" cache="Slicer_Survey" caption="Survey" rowHeight="251883"/>
  <slicer name="Contact Method" xr10:uid="{E3E7C8A8-A50E-4770-ACFA-A81311E7CB3B}" cache="Slicer_Contact_Method" caption="Contact Method" columnCount="2" rowHeight="251883"/>
  <slicer name="Location Name " xr10:uid="{FA1FA2E0-7062-4DC0-A75E-B5A13973BD09}" cache="Slicer_Location_Name" caption="Location Name " columnCount="2" rowHeight="251883"/>
  <slicer name="Solved Status" xr10:uid="{D0C28BFF-3DBA-44F6-9B1D-7E6B1D894EEB}" cache="Slicer_Solved_Status" caption="Solved Status"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585995-26B2-433D-A74A-553912671CF0}" name="survey_data" displayName="survey_data" ref="A1:AH103" totalsRowShown="0" headerRowDxfId="10">
  <autoFilter ref="A1:AH103" xr:uid="{034C1B80-38A3-46F3-ACD5-0F2C2D6620EE}"/>
  <tableColumns count="34">
    <tableColumn id="1" xr3:uid="{C35B185F-DEE3-4F93-808E-10B957D0EA57}" name="Case ID"/>
    <tableColumn id="2" xr3:uid="{5E8CA1DC-D9D8-4444-9A52-CCACE8E4E681}" name="Creation Date" dataDxfId="9"/>
    <tableColumn id="3" xr3:uid="{70AFFBC7-48ED-47C2-86BD-B628DBFD9573}" name="Response Date" dataDxfId="8"/>
    <tableColumn id="32" xr3:uid="{391127FF-4EC3-4F0E-B9DB-94DBB5579100}" name="Survey" dataDxfId="7">
      <calculatedColumnFormula>IF(E2 = 100, "Promoter", IF(E2 = -100, "Detractor", "Passive"))</calculatedColumnFormula>
    </tableColumn>
    <tableColumn id="4" xr3:uid="{17007E31-0D29-4A5F-ADC2-EDF07F2EDCE4}" name="Net Promoter Score" dataDxfId="6">
      <calculatedColumnFormula>IF(F2&gt;8, 100, IF(F2 &lt; 7, -100, 0))</calculatedColumnFormula>
    </tableColumn>
    <tableColumn id="5" xr3:uid="{B2BD18C1-1483-4A4E-A71A-2085603F0884}" name="Likelihood to Recommend"/>
    <tableColumn id="6" xr3:uid="{AFAAB255-CBA0-4993-BB94-9C412B6182DA}" name="Ticket Solved Date" dataDxfId="5"/>
    <tableColumn id="7" xr3:uid="{694F7067-9A19-43BB-AE80-0AC0855DFC3B}" name="Language"/>
    <tableColumn id="8" xr3:uid="{75CD3E39-9CE4-4ACD-993C-BB3D5758C504}" name="Brand"/>
    <tableColumn id="9" xr3:uid="{4D94F4E6-A379-4A98-ACCC-B0C84D0D7B26}" name="Contact Method"/>
    <tableColumn id="10" xr3:uid="{C13DEF66-6390-48F5-BC28-5DAEA78FB293}" name="Agent Resolution Reason 1"/>
    <tableColumn id="11" xr3:uid="{F359EEEA-0375-47B3-884F-5EF30EEB7940}" name="FCR"/>
    <tableColumn id="12" xr3:uid="{0995A34B-B2E0-41BC-B0B8-F517A950F2A4}" name="Ticket Handling Time"/>
    <tableColumn id="13" xr3:uid="{650C1B80-4714-4F04-88B7-8B472972ACDF}" name="Full Resolution Time" dataDxfId="4"/>
    <tableColumn id="38" xr3:uid="{4BD414DC-7471-4368-B615-67C60F99BE22}" name="FRT Is Outlier? " dataDxfId="3">
      <calculatedColumnFormula>IF(OR(survey_data[[#This Row],[Full Resolution Time]]&gt;$AK$4, survey_data[[#This Row],[Full Resolution Time]] &lt; survey_data[[#This Row],[Lower Bound]]), "Outlier", "Normal")</calculatedColumnFormula>
    </tableColumn>
    <tableColumn id="39" xr3:uid="{2486A7EA-F2F3-40F2-9D1B-A28F6419D642}" name="Lower Bound" dataDxfId="2">
      <calculatedColumnFormula>_xlfn.QUARTILE.INC(survey_data[Full Resolution Time], 1)</calculatedColumnFormula>
    </tableColumn>
    <tableColumn id="14" xr3:uid="{3D75DFC5-DCBA-4433-BA1B-D1B6D2B728FD}" name="Satisfaction with the overall support experience (CSAT)"/>
    <tableColumn id="15" xr3:uid="{2888165F-5DEA-45B4-A579-A799B884F8B4}" name="Overall Satisfaction with Agent (ASAT)"/>
    <tableColumn id="16" xr3:uid="{1FF17C43-8564-4FDA-8833-D8FA1EB06F4D}" name="Professionalism"/>
    <tableColumn id="17" xr3:uid="{68ED583B-3EF7-48CA-BAB1-92BEEEFBDF89}" name="Knowledge"/>
    <tableColumn id="18" xr3:uid="{05E9D9F4-B985-4BAB-A959-8A2651DAD1EE}" name="Communicating Clearly"/>
    <tableColumn id="19" xr3:uid="{281E689F-88FB-4E35-AB61-481826CFDC1A}" name="Understanding Needs"/>
    <tableColumn id="20" xr3:uid="{646F5EEB-81A1-4399-A945-2677CF5CE030}" name="Helpfulness"/>
    <tableColumn id="21" xr3:uid="{352A33AA-6B04-45A6-8EF7-33E13A1A90FF}" name="Customer Effort Score (CES - Post Support)"/>
    <tableColumn id="22" xr3:uid="{BC5FD226-BA06-47C8-A111-102F17564358}" name="Satisfaction with Resolution Time"/>
    <tableColumn id="23" xr3:uid="{6CFEEA6F-C35D-43BF-90D1-0D2639940AA5}" name="Inquiry Resolved"/>
    <tableColumn id="24" xr3:uid="{FDBBD7C4-AB2E-4007-BC66-657209CEA5F1}" name="Agent Alias"/>
    <tableColumn id="25" xr3:uid="{6A4D41F8-9A87-4FAD-BF49-B03EDB346D88}" name="Agent Start Date"/>
    <tableColumn id="26" xr3:uid="{CB19F469-FF18-484F-9C3B-F5600DD5AF96}" name="Clean Agent Start Date " dataDxfId="1">
      <calculatedColumnFormula>TRIM(TEXT(AB2, "dd-mmm-yyyy"))</calculatedColumnFormula>
    </tableColumn>
    <tableColumn id="27" xr3:uid="{64F38992-DE14-4B47-BC8E-92837C72F625}" name="Agent Type"/>
    <tableColumn id="37" xr3:uid="{9866B5E0-F05E-4B79-9E73-CC6C72CEE18B}" name="Location Name " dataDxfId="0"/>
    <tableColumn id="29" xr3:uid="{A4D95972-B321-41DE-8249-2D9A739BFE4A}" name="Solved Status"/>
    <tableColumn id="30" xr3:uid="{57B997F5-923D-44B5-B255-6A12D7ACF5C9}" name="Facebook Survey Type"/>
    <tableColumn id="31" xr3:uid="{A4A243E1-682F-456C-B3E1-FD6B1E4FA6FC}" name="Resolution Tag"/>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sponse_Date" xr10:uid="{01399CB8-BC65-4D72-BDC8-B6DE254CCCFF}" sourceName="Response Date">
  <pivotTables>
    <pivotTable tabId="7" name="PivotTable16"/>
    <pivotTable tabId="7" name="PivotTable17"/>
    <pivotTable tabId="7" name="PivotTable18"/>
    <pivotTable tabId="7" name="PivotTable19"/>
    <pivotTable tabId="7" name="PivotTable1"/>
    <pivotTable tabId="7" name="PivotTable3"/>
  </pivotTables>
  <state minimalRefreshVersion="6" lastRefreshVersion="6" pivotCacheId="709699232" filterType="unknown">
    <bounds startDate="2026-01-01T00:44:43" endDate="2027-01-01T09:48:29"/>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sponse Date" xr10:uid="{2956ACA3-4C78-4479-B521-7D5ABA9E6B02}" cache="NativeTimeline_Response_Date" caption="Response Date" level="2" selectionLevel="2" scrollPosition="2026-01-01T00:00:00" style="NPS"/>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85FCF-B11C-4137-9A1E-06FED2C31DFA}">
  <dimension ref="A1:AI103"/>
  <sheetViews>
    <sheetView topLeftCell="Y1" zoomScale="115" zoomScaleNormal="115" workbookViewId="0">
      <selection activeCell="AE2" sqref="AE2"/>
    </sheetView>
  </sheetViews>
  <sheetFormatPr defaultRowHeight="14.5" x14ac:dyDescent="0.35"/>
  <cols>
    <col min="1" max="1" width="11.1796875" bestFit="1" customWidth="1"/>
    <col min="2" max="2" width="15" bestFit="1" customWidth="1"/>
    <col min="3" max="3" width="15.90625" bestFit="1" customWidth="1"/>
    <col min="4" max="4" width="25.7265625" bestFit="1" customWidth="1"/>
    <col min="5" max="5" width="19.08984375" bestFit="1" customWidth="1"/>
    <col min="6" max="6" width="22.6328125" bestFit="1" customWidth="1"/>
    <col min="7" max="7" width="10.453125" bestFit="1" customWidth="1"/>
    <col min="8" max="8" width="17.453125" bestFit="1" customWidth="1"/>
    <col min="9" max="9" width="17" bestFit="1" customWidth="1"/>
    <col min="10" max="10" width="26.1796875" bestFit="1" customWidth="1"/>
    <col min="11" max="11" width="6.36328125" bestFit="1" customWidth="1"/>
    <col min="12" max="12" width="21.08984375" bestFit="1" customWidth="1"/>
    <col min="13" max="13" width="20.81640625" bestFit="1" customWidth="1"/>
    <col min="14" max="14" width="51.08984375" bestFit="1" customWidth="1"/>
    <col min="15" max="15" width="36.26953125" bestFit="1" customWidth="1"/>
    <col min="16" max="16" width="16.90625" bestFit="1" customWidth="1"/>
    <col min="17" max="17" width="12.81640625" bestFit="1" customWidth="1"/>
    <col min="18" max="18" width="23.1796875" bestFit="1" customWidth="1"/>
    <col min="19" max="19" width="21.90625" bestFit="1" customWidth="1"/>
    <col min="20" max="20" width="13.36328125" bestFit="1" customWidth="1"/>
    <col min="21" max="21" width="39.6328125" bestFit="1" customWidth="1"/>
    <col min="22" max="22" width="32.1796875" bestFit="1" customWidth="1"/>
    <col min="23" max="23" width="24.54296875" bestFit="1" customWidth="1"/>
    <col min="24" max="24" width="23" bestFit="1" customWidth="1"/>
    <col min="25" max="25" width="11.7265625" bestFit="1" customWidth="1"/>
    <col min="26" max="26" width="21.90625" bestFit="1" customWidth="1"/>
    <col min="27" max="27" width="15.90625" customWidth="1"/>
    <col min="28" max="28" width="12.81640625" bestFit="1" customWidth="1"/>
    <col min="29" max="29" width="17.7265625" bestFit="1" customWidth="1"/>
    <col min="30" max="30" width="12.81640625" bestFit="1" customWidth="1"/>
    <col min="31" max="31" width="15.90625" customWidth="1"/>
    <col min="32" max="32" width="16.08984375" bestFit="1" customWidth="1"/>
    <col min="33" max="33" width="22.1796875" bestFit="1" customWidth="1"/>
    <col min="34" max="34" width="33.54296875" bestFit="1" customWidth="1"/>
    <col min="35" max="35" width="24.6328125" bestFit="1" customWidth="1"/>
  </cols>
  <sheetData>
    <row r="1" spans="1:35" x14ac:dyDescent="0.35">
      <c r="A1" s="1" t="s">
        <v>205</v>
      </c>
      <c r="B1" s="1" t="s">
        <v>0</v>
      </c>
      <c r="C1" s="1" t="s">
        <v>1</v>
      </c>
      <c r="D1" s="1" t="s">
        <v>2</v>
      </c>
      <c r="E1" s="1" t="s">
        <v>3</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5" t="s">
        <v>218</v>
      </c>
      <c r="AF1" s="1" t="s">
        <v>30</v>
      </c>
      <c r="AG1" s="1" t="s">
        <v>31</v>
      </c>
      <c r="AH1" s="1" t="s">
        <v>32</v>
      </c>
      <c r="AI1" s="1" t="s">
        <v>33</v>
      </c>
    </row>
    <row r="2" spans="1:35" x14ac:dyDescent="0.35">
      <c r="A2">
        <v>20142096</v>
      </c>
      <c r="B2" s="2">
        <v>46051.378955717591</v>
      </c>
      <c r="C2" s="2">
        <v>46055.408668981479</v>
      </c>
      <c r="D2">
        <v>2</v>
      </c>
      <c r="E2" s="2">
        <v>46050.892175925925</v>
      </c>
      <c r="F2" t="s">
        <v>34</v>
      </c>
      <c r="G2" t="s">
        <v>35</v>
      </c>
      <c r="I2" t="s">
        <v>36</v>
      </c>
      <c r="J2" t="s">
        <v>37</v>
      </c>
      <c r="K2" t="s">
        <v>38</v>
      </c>
      <c r="L2">
        <v>367</v>
      </c>
      <c r="M2">
        <v>12935</v>
      </c>
      <c r="N2">
        <v>2</v>
      </c>
      <c r="O2" t="s">
        <v>39</v>
      </c>
      <c r="P2" t="s">
        <v>39</v>
      </c>
      <c r="Q2" t="s">
        <v>39</v>
      </c>
      <c r="R2">
        <v>1</v>
      </c>
      <c r="S2">
        <v>1</v>
      </c>
      <c r="T2">
        <v>1</v>
      </c>
      <c r="U2">
        <v>0</v>
      </c>
      <c r="V2">
        <v>0</v>
      </c>
      <c r="W2" t="s">
        <v>40</v>
      </c>
      <c r="AB2" t="s">
        <v>41</v>
      </c>
      <c r="AC2" t="s">
        <v>42</v>
      </c>
      <c r="AD2" t="s">
        <v>43</v>
      </c>
      <c r="AE2" t="s">
        <v>219</v>
      </c>
      <c r="AF2" t="s">
        <v>44</v>
      </c>
      <c r="AG2" t="s">
        <v>45</v>
      </c>
      <c r="AI2" t="s">
        <v>46</v>
      </c>
    </row>
    <row r="3" spans="1:35" x14ac:dyDescent="0.35">
      <c r="A3">
        <v>20142028</v>
      </c>
      <c r="B3" s="2">
        <v>46051.378735370374</v>
      </c>
      <c r="C3" s="2">
        <v>46055.403680555559</v>
      </c>
      <c r="D3">
        <v>10</v>
      </c>
      <c r="E3" s="2">
        <v>46051.073564814818</v>
      </c>
      <c r="F3" t="s">
        <v>34</v>
      </c>
      <c r="G3" t="s">
        <v>47</v>
      </c>
      <c r="I3" t="s">
        <v>48</v>
      </c>
      <c r="J3" t="s">
        <v>37</v>
      </c>
      <c r="K3" t="s">
        <v>38</v>
      </c>
      <c r="L3">
        <v>622</v>
      </c>
      <c r="M3">
        <v>12042</v>
      </c>
      <c r="N3">
        <v>10</v>
      </c>
      <c r="O3">
        <v>8</v>
      </c>
      <c r="P3">
        <v>8</v>
      </c>
      <c r="Q3">
        <v>8</v>
      </c>
      <c r="R3">
        <v>8</v>
      </c>
      <c r="S3">
        <v>8</v>
      </c>
      <c r="T3">
        <v>8</v>
      </c>
      <c r="U3">
        <v>7</v>
      </c>
      <c r="V3">
        <v>6</v>
      </c>
      <c r="W3" t="s">
        <v>49</v>
      </c>
      <c r="AB3" t="s">
        <v>50</v>
      </c>
      <c r="AC3" t="s">
        <v>51</v>
      </c>
      <c r="AD3" t="s">
        <v>52</v>
      </c>
      <c r="AE3" t="s">
        <v>219</v>
      </c>
      <c r="AF3" t="s">
        <v>44</v>
      </c>
      <c r="AG3" t="s">
        <v>45</v>
      </c>
      <c r="AI3" t="s">
        <v>53</v>
      </c>
    </row>
    <row r="4" spans="1:35" x14ac:dyDescent="0.35">
      <c r="A4">
        <v>20147870</v>
      </c>
      <c r="B4" s="2">
        <v>46052.379087557871</v>
      </c>
      <c r="C4" s="2">
        <v>46055.402673611112</v>
      </c>
      <c r="D4">
        <v>10</v>
      </c>
      <c r="E4" s="2">
        <v>46052.0237037037</v>
      </c>
      <c r="F4" t="s">
        <v>54</v>
      </c>
      <c r="G4" t="s">
        <v>35</v>
      </c>
      <c r="I4" t="s">
        <v>4</v>
      </c>
      <c r="J4" t="s">
        <v>55</v>
      </c>
      <c r="K4" t="s">
        <v>38</v>
      </c>
      <c r="L4">
        <v>492</v>
      </c>
      <c r="M4">
        <v>1896</v>
      </c>
      <c r="N4">
        <v>10</v>
      </c>
      <c r="O4">
        <v>10</v>
      </c>
      <c r="P4">
        <v>10</v>
      </c>
      <c r="Q4">
        <v>10</v>
      </c>
      <c r="R4">
        <v>10</v>
      </c>
      <c r="S4">
        <v>10</v>
      </c>
      <c r="T4">
        <v>10</v>
      </c>
      <c r="U4">
        <v>10</v>
      </c>
      <c r="V4">
        <v>10</v>
      </c>
      <c r="W4" t="s">
        <v>49</v>
      </c>
      <c r="AB4" t="s">
        <v>56</v>
      </c>
      <c r="AC4" t="s">
        <v>57</v>
      </c>
      <c r="AD4" t="s">
        <v>52</v>
      </c>
      <c r="AE4" t="s">
        <v>219</v>
      </c>
      <c r="AF4" t="s">
        <v>44</v>
      </c>
      <c r="AG4" t="s">
        <v>45</v>
      </c>
      <c r="AI4" t="s">
        <v>53</v>
      </c>
    </row>
    <row r="5" spans="1:35" x14ac:dyDescent="0.35">
      <c r="A5">
        <v>20164132</v>
      </c>
      <c r="B5" s="2">
        <v>46055.379660266204</v>
      </c>
      <c r="C5" s="2">
        <v>46055.401990740742</v>
      </c>
      <c r="D5">
        <v>10</v>
      </c>
      <c r="E5" s="2">
        <v>46055.550891203704</v>
      </c>
      <c r="F5" t="s">
        <v>58</v>
      </c>
      <c r="G5" t="s">
        <v>35</v>
      </c>
      <c r="I5" t="s">
        <v>4</v>
      </c>
      <c r="J5" t="s">
        <v>37</v>
      </c>
      <c r="K5" t="s">
        <v>38</v>
      </c>
      <c r="L5">
        <v>435</v>
      </c>
      <c r="M5">
        <v>736</v>
      </c>
      <c r="N5">
        <v>10</v>
      </c>
      <c r="O5">
        <v>10</v>
      </c>
      <c r="P5">
        <v>10</v>
      </c>
      <c r="Q5">
        <v>10</v>
      </c>
      <c r="R5">
        <v>10</v>
      </c>
      <c r="S5">
        <v>10</v>
      </c>
      <c r="T5">
        <v>10</v>
      </c>
      <c r="U5">
        <v>10</v>
      </c>
      <c r="V5">
        <v>10</v>
      </c>
      <c r="W5" t="s">
        <v>49</v>
      </c>
      <c r="AB5" t="s">
        <v>59</v>
      </c>
      <c r="AC5" t="s">
        <v>60</v>
      </c>
      <c r="AD5" t="s">
        <v>52</v>
      </c>
      <c r="AE5" t="s">
        <v>219</v>
      </c>
      <c r="AF5" t="s">
        <v>44</v>
      </c>
      <c r="AG5" t="s">
        <v>45</v>
      </c>
      <c r="AI5" t="s">
        <v>61</v>
      </c>
    </row>
    <row r="6" spans="1:35" x14ac:dyDescent="0.35">
      <c r="A6">
        <v>20163601</v>
      </c>
      <c r="B6" s="2">
        <v>46055.378029328705</v>
      </c>
      <c r="C6" s="2">
        <v>46055.40053240741</v>
      </c>
      <c r="D6">
        <v>9</v>
      </c>
      <c r="E6" s="2">
        <v>46055.706504629627</v>
      </c>
      <c r="F6" t="s">
        <v>34</v>
      </c>
      <c r="G6" t="s">
        <v>47</v>
      </c>
      <c r="I6" t="s">
        <v>48</v>
      </c>
      <c r="J6" t="s">
        <v>37</v>
      </c>
      <c r="K6" t="s">
        <v>62</v>
      </c>
      <c r="L6">
        <v>9</v>
      </c>
      <c r="M6">
        <v>7112</v>
      </c>
      <c r="N6">
        <v>10</v>
      </c>
      <c r="O6">
        <v>10</v>
      </c>
      <c r="P6">
        <v>10</v>
      </c>
      <c r="Q6">
        <v>10</v>
      </c>
      <c r="R6">
        <v>10</v>
      </c>
      <c r="S6">
        <v>10</v>
      </c>
      <c r="T6">
        <v>10</v>
      </c>
      <c r="U6">
        <v>9</v>
      </c>
      <c r="V6">
        <v>5</v>
      </c>
      <c r="W6" t="s">
        <v>49</v>
      </c>
      <c r="AB6" t="s">
        <v>63</v>
      </c>
      <c r="AC6" t="s">
        <v>64</v>
      </c>
      <c r="AD6" t="s">
        <v>52</v>
      </c>
      <c r="AE6" t="s">
        <v>220</v>
      </c>
      <c r="AF6" t="s">
        <v>44</v>
      </c>
      <c r="AG6" t="s">
        <v>45</v>
      </c>
      <c r="AI6" t="s">
        <v>65</v>
      </c>
    </row>
    <row r="7" spans="1:35" x14ac:dyDescent="0.35">
      <c r="A7">
        <v>20142463</v>
      </c>
      <c r="B7" s="2">
        <v>46051.380129571757</v>
      </c>
      <c r="C7" s="2">
        <v>46055.396435185183</v>
      </c>
      <c r="D7">
        <v>10</v>
      </c>
      <c r="E7" s="2">
        <v>46050.910243055558</v>
      </c>
      <c r="F7" t="s">
        <v>34</v>
      </c>
      <c r="G7" t="s">
        <v>35</v>
      </c>
      <c r="I7" t="s">
        <v>4</v>
      </c>
      <c r="J7" t="s">
        <v>66</v>
      </c>
      <c r="K7" t="s">
        <v>38</v>
      </c>
      <c r="L7">
        <v>476</v>
      </c>
      <c r="M7">
        <v>9970</v>
      </c>
      <c r="N7">
        <v>10</v>
      </c>
      <c r="O7">
        <v>10</v>
      </c>
      <c r="P7">
        <v>10</v>
      </c>
      <c r="Q7">
        <v>10</v>
      </c>
      <c r="R7">
        <v>10</v>
      </c>
      <c r="S7">
        <v>10</v>
      </c>
      <c r="T7">
        <v>10</v>
      </c>
      <c r="U7">
        <v>10</v>
      </c>
      <c r="V7">
        <v>4</v>
      </c>
      <c r="W7" t="s">
        <v>49</v>
      </c>
      <c r="AB7" t="s">
        <v>67</v>
      </c>
      <c r="AC7" t="s">
        <v>68</v>
      </c>
      <c r="AD7" t="s">
        <v>52</v>
      </c>
      <c r="AE7" t="s">
        <v>219</v>
      </c>
      <c r="AF7" t="s">
        <v>44</v>
      </c>
      <c r="AG7" t="s">
        <v>45</v>
      </c>
      <c r="AI7" t="s">
        <v>61</v>
      </c>
    </row>
    <row r="8" spans="1:35" x14ac:dyDescent="0.35">
      <c r="A8">
        <v>20163492</v>
      </c>
      <c r="B8" s="2">
        <v>46055.37765253472</v>
      </c>
      <c r="C8" s="2">
        <v>46055.395381944443</v>
      </c>
      <c r="D8">
        <v>10</v>
      </c>
      <c r="E8" s="2">
        <v>46055.125405092593</v>
      </c>
      <c r="F8" t="s">
        <v>34</v>
      </c>
      <c r="G8" t="s">
        <v>35</v>
      </c>
      <c r="I8" t="s">
        <v>48</v>
      </c>
      <c r="J8" t="s">
        <v>69</v>
      </c>
      <c r="K8" t="s">
        <v>62</v>
      </c>
      <c r="L8">
        <v>3</v>
      </c>
      <c r="M8">
        <v>38</v>
      </c>
      <c r="N8">
        <v>10</v>
      </c>
      <c r="O8">
        <v>10</v>
      </c>
      <c r="P8">
        <v>10</v>
      </c>
      <c r="Q8">
        <v>10</v>
      </c>
      <c r="R8">
        <v>10</v>
      </c>
      <c r="S8">
        <v>10</v>
      </c>
      <c r="T8">
        <v>10</v>
      </c>
      <c r="U8">
        <v>10</v>
      </c>
      <c r="V8">
        <v>10</v>
      </c>
      <c r="W8" t="s">
        <v>49</v>
      </c>
      <c r="AB8" t="s">
        <v>70</v>
      </c>
      <c r="AC8" t="s">
        <v>51</v>
      </c>
      <c r="AD8" t="s">
        <v>52</v>
      </c>
      <c r="AE8" t="s">
        <v>219</v>
      </c>
      <c r="AF8" t="s">
        <v>44</v>
      </c>
      <c r="AG8" t="s">
        <v>45</v>
      </c>
      <c r="AI8" t="s">
        <v>65</v>
      </c>
    </row>
    <row r="9" spans="1:35" x14ac:dyDescent="0.35">
      <c r="A9">
        <v>20164244</v>
      </c>
      <c r="B9" s="2">
        <v>46055.380048217594</v>
      </c>
      <c r="C9" s="2">
        <v>46055.393969907411</v>
      </c>
      <c r="D9">
        <v>10</v>
      </c>
      <c r="E9" s="2">
        <v>46055.62363425926</v>
      </c>
      <c r="F9" t="s">
        <v>34</v>
      </c>
      <c r="G9" t="s">
        <v>35</v>
      </c>
      <c r="I9" t="s">
        <v>4</v>
      </c>
      <c r="J9" t="s">
        <v>71</v>
      </c>
      <c r="K9" t="s">
        <v>38</v>
      </c>
      <c r="L9">
        <v>2130</v>
      </c>
      <c r="M9">
        <v>23336</v>
      </c>
      <c r="N9">
        <v>10</v>
      </c>
      <c r="O9">
        <v>10</v>
      </c>
      <c r="P9">
        <v>10</v>
      </c>
      <c r="Q9">
        <v>10</v>
      </c>
      <c r="R9">
        <v>10</v>
      </c>
      <c r="S9">
        <v>10</v>
      </c>
      <c r="T9">
        <v>10</v>
      </c>
      <c r="U9">
        <v>10</v>
      </c>
      <c r="V9">
        <v>10</v>
      </c>
      <c r="W9" t="s">
        <v>49</v>
      </c>
      <c r="AB9" t="s">
        <v>67</v>
      </c>
      <c r="AC9" t="s">
        <v>72</v>
      </c>
      <c r="AD9" t="s">
        <v>52</v>
      </c>
      <c r="AE9" t="s">
        <v>219</v>
      </c>
      <c r="AF9" t="s">
        <v>44</v>
      </c>
      <c r="AG9" t="s">
        <v>45</v>
      </c>
      <c r="AI9" t="s">
        <v>73</v>
      </c>
    </row>
    <row r="10" spans="1:35" x14ac:dyDescent="0.35">
      <c r="A10">
        <v>20163376</v>
      </c>
      <c r="B10" s="2">
        <v>46055.377288321761</v>
      </c>
      <c r="C10" s="2">
        <v>46055.392754629633</v>
      </c>
      <c r="D10">
        <v>10</v>
      </c>
      <c r="E10" s="2">
        <v>46054.997870370367</v>
      </c>
      <c r="F10" t="s">
        <v>34</v>
      </c>
      <c r="G10" t="s">
        <v>35</v>
      </c>
      <c r="I10" t="s">
        <v>4</v>
      </c>
      <c r="J10" t="s">
        <v>69</v>
      </c>
      <c r="K10" t="s">
        <v>38</v>
      </c>
      <c r="L10">
        <v>262</v>
      </c>
      <c r="M10">
        <v>1490</v>
      </c>
      <c r="N10">
        <v>10</v>
      </c>
      <c r="O10">
        <v>10</v>
      </c>
      <c r="P10">
        <v>10</v>
      </c>
      <c r="Q10">
        <v>10</v>
      </c>
      <c r="R10">
        <v>10</v>
      </c>
      <c r="S10">
        <v>10</v>
      </c>
      <c r="T10">
        <v>10</v>
      </c>
      <c r="U10">
        <v>10</v>
      </c>
      <c r="V10">
        <v>10</v>
      </c>
      <c r="W10" t="s">
        <v>49</v>
      </c>
      <c r="AB10" t="s">
        <v>74</v>
      </c>
      <c r="AC10" t="s">
        <v>75</v>
      </c>
      <c r="AD10" t="s">
        <v>52</v>
      </c>
      <c r="AE10" t="s">
        <v>219</v>
      </c>
      <c r="AF10" t="s">
        <v>44</v>
      </c>
      <c r="AG10" t="s">
        <v>45</v>
      </c>
      <c r="AI10" t="s">
        <v>65</v>
      </c>
    </row>
    <row r="11" spans="1:35" x14ac:dyDescent="0.35">
      <c r="A11">
        <v>20163079</v>
      </c>
      <c r="B11" s="2">
        <v>46055.376354479165</v>
      </c>
      <c r="C11" s="2">
        <v>46055.392488425925</v>
      </c>
      <c r="D11">
        <v>6</v>
      </c>
      <c r="E11" s="2">
        <v>46055.679803240739</v>
      </c>
      <c r="F11" t="s">
        <v>34</v>
      </c>
      <c r="G11" t="s">
        <v>76</v>
      </c>
      <c r="I11" t="s">
        <v>4</v>
      </c>
      <c r="J11" t="s">
        <v>77</v>
      </c>
      <c r="K11" t="s">
        <v>38</v>
      </c>
      <c r="L11">
        <v>216</v>
      </c>
      <c r="M11">
        <v>7359</v>
      </c>
      <c r="N11">
        <v>10</v>
      </c>
      <c r="O11">
        <v>10</v>
      </c>
      <c r="P11">
        <v>10</v>
      </c>
      <c r="Q11">
        <v>10</v>
      </c>
      <c r="R11">
        <v>10</v>
      </c>
      <c r="S11">
        <v>10</v>
      </c>
      <c r="T11">
        <v>10</v>
      </c>
      <c r="U11">
        <v>10</v>
      </c>
      <c r="V11">
        <v>6</v>
      </c>
      <c r="W11" t="s">
        <v>49</v>
      </c>
      <c r="AB11" t="s">
        <v>67</v>
      </c>
      <c r="AC11" t="s">
        <v>72</v>
      </c>
      <c r="AD11" t="s">
        <v>52</v>
      </c>
      <c r="AE11" t="s">
        <v>219</v>
      </c>
      <c r="AF11" t="s">
        <v>44</v>
      </c>
      <c r="AG11" t="s">
        <v>45</v>
      </c>
      <c r="AI11" t="s">
        <v>73</v>
      </c>
    </row>
    <row r="12" spans="1:35" x14ac:dyDescent="0.35">
      <c r="A12">
        <v>20153453</v>
      </c>
      <c r="B12" s="2">
        <v>46053.379631840275</v>
      </c>
      <c r="C12" s="2">
        <v>46055.392476851855</v>
      </c>
      <c r="D12">
        <v>10</v>
      </c>
      <c r="E12" s="2">
        <v>46052.739120370374</v>
      </c>
      <c r="F12" t="s">
        <v>58</v>
      </c>
      <c r="G12" t="s">
        <v>35</v>
      </c>
      <c r="I12" t="s">
        <v>48</v>
      </c>
      <c r="J12" t="s">
        <v>78</v>
      </c>
      <c r="K12" t="s">
        <v>38</v>
      </c>
      <c r="L12">
        <v>731</v>
      </c>
      <c r="M12">
        <v>24271</v>
      </c>
      <c r="N12">
        <v>10</v>
      </c>
      <c r="O12">
        <v>10</v>
      </c>
      <c r="P12">
        <v>10</v>
      </c>
      <c r="Q12">
        <v>10</v>
      </c>
      <c r="R12">
        <v>10</v>
      </c>
      <c r="S12">
        <v>7</v>
      </c>
      <c r="T12">
        <v>10</v>
      </c>
      <c r="U12">
        <v>10</v>
      </c>
      <c r="V12">
        <v>5</v>
      </c>
      <c r="W12" t="s">
        <v>49</v>
      </c>
      <c r="AB12" t="s">
        <v>79</v>
      </c>
      <c r="AC12" t="s">
        <v>80</v>
      </c>
      <c r="AD12" t="s">
        <v>52</v>
      </c>
      <c r="AE12" t="s">
        <v>219</v>
      </c>
      <c r="AF12" t="s">
        <v>44</v>
      </c>
      <c r="AG12" t="s">
        <v>45</v>
      </c>
      <c r="AI12" t="s">
        <v>61</v>
      </c>
    </row>
    <row r="13" spans="1:35" x14ac:dyDescent="0.35">
      <c r="A13">
        <v>20141395</v>
      </c>
      <c r="B13" s="2">
        <v>46051.376708877317</v>
      </c>
      <c r="C13" s="2">
        <v>46055.390763888892</v>
      </c>
      <c r="D13">
        <v>7</v>
      </c>
      <c r="E13" s="2">
        <v>46050.752847222226</v>
      </c>
      <c r="F13" t="s">
        <v>34</v>
      </c>
      <c r="G13" t="s">
        <v>47</v>
      </c>
      <c r="I13" t="s">
        <v>48</v>
      </c>
      <c r="J13" t="s">
        <v>37</v>
      </c>
      <c r="K13" t="s">
        <v>62</v>
      </c>
      <c r="L13">
        <v>40</v>
      </c>
      <c r="M13">
        <v>58</v>
      </c>
      <c r="N13">
        <v>9</v>
      </c>
      <c r="O13">
        <v>9</v>
      </c>
      <c r="P13">
        <v>9</v>
      </c>
      <c r="Q13">
        <v>9</v>
      </c>
      <c r="R13">
        <v>9</v>
      </c>
      <c r="S13">
        <v>9</v>
      </c>
      <c r="T13">
        <v>9</v>
      </c>
      <c r="U13">
        <v>9</v>
      </c>
      <c r="V13">
        <v>7</v>
      </c>
      <c r="W13" t="s">
        <v>49</v>
      </c>
      <c r="AB13" t="s">
        <v>81</v>
      </c>
      <c r="AC13" t="s">
        <v>64</v>
      </c>
      <c r="AD13" t="s">
        <v>52</v>
      </c>
      <c r="AE13" t="s">
        <v>220</v>
      </c>
      <c r="AF13" t="s">
        <v>44</v>
      </c>
      <c r="AG13" t="s">
        <v>45</v>
      </c>
      <c r="AI13" t="s">
        <v>73</v>
      </c>
    </row>
    <row r="14" spans="1:35" x14ac:dyDescent="0.35">
      <c r="A14">
        <v>20164156</v>
      </c>
      <c r="B14" s="2">
        <v>46055.379765277779</v>
      </c>
      <c r="C14" s="2">
        <v>46055.387164351851</v>
      </c>
      <c r="D14">
        <v>10</v>
      </c>
      <c r="E14" s="2">
        <v>46055.428518518522</v>
      </c>
      <c r="F14" t="s">
        <v>34</v>
      </c>
      <c r="G14" t="s">
        <v>47</v>
      </c>
      <c r="I14" t="s">
        <v>48</v>
      </c>
      <c r="J14" t="s">
        <v>37</v>
      </c>
      <c r="K14" t="s">
        <v>38</v>
      </c>
      <c r="L14">
        <v>371</v>
      </c>
      <c r="M14">
        <v>7784</v>
      </c>
      <c r="N14">
        <v>10</v>
      </c>
      <c r="O14">
        <v>10</v>
      </c>
      <c r="P14">
        <v>10</v>
      </c>
      <c r="Q14">
        <v>10</v>
      </c>
      <c r="R14">
        <v>10</v>
      </c>
      <c r="S14">
        <v>10</v>
      </c>
      <c r="T14">
        <v>10</v>
      </c>
      <c r="U14">
        <v>10</v>
      </c>
      <c r="V14">
        <v>10</v>
      </c>
      <c r="W14" t="s">
        <v>49</v>
      </c>
      <c r="AB14" t="s">
        <v>82</v>
      </c>
      <c r="AC14" t="s">
        <v>83</v>
      </c>
      <c r="AD14" t="s">
        <v>52</v>
      </c>
      <c r="AE14" t="s">
        <v>220</v>
      </c>
      <c r="AF14" t="s">
        <v>44</v>
      </c>
      <c r="AG14" t="s">
        <v>45</v>
      </c>
      <c r="AI14" t="s">
        <v>65</v>
      </c>
    </row>
    <row r="15" spans="1:35" x14ac:dyDescent="0.35">
      <c r="A15">
        <v>20141095</v>
      </c>
      <c r="B15" s="2">
        <v>46051.375749502316</v>
      </c>
      <c r="C15" s="2">
        <v>46055.385138888887</v>
      </c>
      <c r="D15">
        <v>10</v>
      </c>
      <c r="E15" s="2">
        <v>46051.124930555554</v>
      </c>
      <c r="F15" t="s">
        <v>54</v>
      </c>
      <c r="G15" t="s">
        <v>35</v>
      </c>
      <c r="I15" t="s">
        <v>48</v>
      </c>
      <c r="J15" t="s">
        <v>55</v>
      </c>
      <c r="K15" t="s">
        <v>62</v>
      </c>
      <c r="L15">
        <v>1</v>
      </c>
      <c r="M15">
        <v>24</v>
      </c>
      <c r="N15">
        <v>10</v>
      </c>
      <c r="O15">
        <v>10</v>
      </c>
      <c r="P15">
        <v>10</v>
      </c>
      <c r="Q15">
        <v>10</v>
      </c>
      <c r="R15">
        <v>10</v>
      </c>
      <c r="S15">
        <v>10</v>
      </c>
      <c r="T15">
        <v>10</v>
      </c>
      <c r="U15">
        <v>10</v>
      </c>
      <c r="V15">
        <v>10</v>
      </c>
      <c r="W15" t="s">
        <v>49</v>
      </c>
      <c r="AB15" t="s">
        <v>56</v>
      </c>
      <c r="AC15" t="s">
        <v>57</v>
      </c>
      <c r="AD15" t="s">
        <v>52</v>
      </c>
      <c r="AE15" t="s">
        <v>219</v>
      </c>
      <c r="AF15" t="s">
        <v>44</v>
      </c>
      <c r="AG15" t="s">
        <v>45</v>
      </c>
      <c r="AI15" t="s">
        <v>53</v>
      </c>
    </row>
    <row r="16" spans="1:35" x14ac:dyDescent="0.35">
      <c r="A16">
        <v>20142165</v>
      </c>
      <c r="B16" s="2">
        <v>46051.379165740742</v>
      </c>
      <c r="C16" s="2">
        <v>46055.383171296293</v>
      </c>
      <c r="D16">
        <v>10</v>
      </c>
      <c r="E16" s="2">
        <v>46050.751493055555</v>
      </c>
      <c r="F16" t="s">
        <v>34</v>
      </c>
      <c r="G16" t="s">
        <v>35</v>
      </c>
      <c r="I16" t="s">
        <v>4</v>
      </c>
      <c r="J16" t="s">
        <v>69</v>
      </c>
      <c r="K16" t="s">
        <v>38</v>
      </c>
      <c r="L16">
        <v>430</v>
      </c>
      <c r="M16">
        <v>24625</v>
      </c>
      <c r="N16">
        <v>10</v>
      </c>
      <c r="O16">
        <v>10</v>
      </c>
      <c r="P16">
        <v>10</v>
      </c>
      <c r="Q16">
        <v>10</v>
      </c>
      <c r="R16">
        <v>10</v>
      </c>
      <c r="S16">
        <v>10</v>
      </c>
      <c r="T16">
        <v>10</v>
      </c>
      <c r="U16">
        <v>10</v>
      </c>
      <c r="V16">
        <v>10</v>
      </c>
      <c r="W16" t="s">
        <v>49</v>
      </c>
      <c r="AB16" t="s">
        <v>84</v>
      </c>
      <c r="AC16" t="s">
        <v>72</v>
      </c>
      <c r="AD16" t="s">
        <v>52</v>
      </c>
      <c r="AE16" t="s">
        <v>219</v>
      </c>
      <c r="AF16" t="s">
        <v>85</v>
      </c>
      <c r="AG16" t="s">
        <v>45</v>
      </c>
      <c r="AI16" t="s">
        <v>86</v>
      </c>
    </row>
    <row r="17" spans="1:35" x14ac:dyDescent="0.35">
      <c r="A17">
        <v>20163752</v>
      </c>
      <c r="B17" s="2">
        <v>46055.378477013888</v>
      </c>
      <c r="C17" s="2">
        <v>46055.383020833331</v>
      </c>
      <c r="D17">
        <v>5</v>
      </c>
      <c r="E17" s="2">
        <v>46055.097916666666</v>
      </c>
      <c r="F17" t="s">
        <v>34</v>
      </c>
      <c r="G17" t="s">
        <v>35</v>
      </c>
      <c r="I17" t="s">
        <v>48</v>
      </c>
      <c r="J17" t="s">
        <v>69</v>
      </c>
      <c r="K17" t="s">
        <v>62</v>
      </c>
      <c r="L17">
        <v>45</v>
      </c>
      <c r="M17">
        <v>77</v>
      </c>
      <c r="N17">
        <v>10</v>
      </c>
      <c r="O17">
        <v>10</v>
      </c>
      <c r="P17">
        <v>10</v>
      </c>
      <c r="Q17">
        <v>10</v>
      </c>
      <c r="R17">
        <v>10</v>
      </c>
      <c r="S17">
        <v>10</v>
      </c>
      <c r="T17">
        <v>10</v>
      </c>
      <c r="U17">
        <v>10</v>
      </c>
      <c r="V17">
        <v>5</v>
      </c>
      <c r="W17" t="s">
        <v>49</v>
      </c>
      <c r="AB17" t="s">
        <v>87</v>
      </c>
      <c r="AC17" t="s">
        <v>88</v>
      </c>
      <c r="AD17" t="s">
        <v>52</v>
      </c>
      <c r="AE17" t="s">
        <v>219</v>
      </c>
      <c r="AF17" t="s">
        <v>44</v>
      </c>
      <c r="AG17" t="s">
        <v>45</v>
      </c>
      <c r="AI17" t="s">
        <v>65</v>
      </c>
    </row>
    <row r="18" spans="1:35" x14ac:dyDescent="0.35">
      <c r="A18">
        <v>20163586</v>
      </c>
      <c r="B18" s="2">
        <v>46055.377974178242</v>
      </c>
      <c r="C18" s="2">
        <v>46055.3828587963</v>
      </c>
      <c r="D18">
        <v>10</v>
      </c>
      <c r="E18" s="2">
        <v>46054.997361111113</v>
      </c>
      <c r="F18" t="s">
        <v>34</v>
      </c>
      <c r="G18" t="s">
        <v>35</v>
      </c>
      <c r="I18" t="s">
        <v>48</v>
      </c>
      <c r="J18" t="s">
        <v>55</v>
      </c>
      <c r="K18" t="s">
        <v>62</v>
      </c>
      <c r="L18">
        <v>5</v>
      </c>
      <c r="M18">
        <v>59</v>
      </c>
      <c r="N18">
        <v>10</v>
      </c>
      <c r="O18">
        <v>10</v>
      </c>
      <c r="P18">
        <v>10</v>
      </c>
      <c r="Q18">
        <v>10</v>
      </c>
      <c r="R18">
        <v>10</v>
      </c>
      <c r="S18">
        <v>10</v>
      </c>
      <c r="T18">
        <v>10</v>
      </c>
      <c r="U18">
        <v>10</v>
      </c>
      <c r="V18">
        <v>10</v>
      </c>
      <c r="W18" t="s">
        <v>49</v>
      </c>
      <c r="AB18" t="s">
        <v>89</v>
      </c>
      <c r="AC18" t="s">
        <v>90</v>
      </c>
      <c r="AD18" t="s">
        <v>52</v>
      </c>
      <c r="AE18" t="s">
        <v>220</v>
      </c>
      <c r="AF18" t="s">
        <v>44</v>
      </c>
      <c r="AG18" t="s">
        <v>45</v>
      </c>
      <c r="AI18" t="s">
        <v>53</v>
      </c>
    </row>
    <row r="19" spans="1:35" x14ac:dyDescent="0.35">
      <c r="A19">
        <v>20164091</v>
      </c>
      <c r="B19" s="2">
        <v>46055.379564733797</v>
      </c>
      <c r="C19" s="2">
        <v>46055.380486111113</v>
      </c>
      <c r="D19">
        <v>9</v>
      </c>
      <c r="E19" s="2">
        <v>46054.835462962961</v>
      </c>
      <c r="F19" t="s">
        <v>34</v>
      </c>
      <c r="G19" t="s">
        <v>35</v>
      </c>
      <c r="I19" t="s">
        <v>48</v>
      </c>
      <c r="J19" t="s">
        <v>55</v>
      </c>
      <c r="K19" t="s">
        <v>62</v>
      </c>
      <c r="L19">
        <v>63</v>
      </c>
      <c r="M19">
        <v>95</v>
      </c>
      <c r="N19">
        <v>9</v>
      </c>
      <c r="O19">
        <v>9</v>
      </c>
      <c r="P19">
        <v>9</v>
      </c>
      <c r="Q19">
        <v>9</v>
      </c>
      <c r="R19">
        <v>9</v>
      </c>
      <c r="S19">
        <v>9</v>
      </c>
      <c r="T19">
        <v>9</v>
      </c>
      <c r="U19">
        <v>9</v>
      </c>
      <c r="V19">
        <v>9</v>
      </c>
      <c r="W19" t="s">
        <v>49</v>
      </c>
      <c r="AB19" t="s">
        <v>91</v>
      </c>
      <c r="AC19" t="s">
        <v>92</v>
      </c>
      <c r="AD19" t="s">
        <v>52</v>
      </c>
      <c r="AE19" t="s">
        <v>219</v>
      </c>
      <c r="AF19" t="s">
        <v>44</v>
      </c>
      <c r="AG19" t="s">
        <v>45</v>
      </c>
      <c r="AI19" t="s">
        <v>53</v>
      </c>
    </row>
    <row r="20" spans="1:35" x14ac:dyDescent="0.35">
      <c r="A20">
        <v>20163317</v>
      </c>
      <c r="B20" s="2">
        <v>46055.377097824072</v>
      </c>
      <c r="C20" s="2">
        <v>46055.380104166667</v>
      </c>
      <c r="D20">
        <v>10</v>
      </c>
      <c r="E20" s="2">
        <v>46055.705995370372</v>
      </c>
      <c r="F20" t="s">
        <v>34</v>
      </c>
      <c r="G20" t="s">
        <v>35</v>
      </c>
      <c r="I20" t="s">
        <v>4</v>
      </c>
      <c r="J20" t="s">
        <v>69</v>
      </c>
      <c r="K20" t="s">
        <v>38</v>
      </c>
      <c r="L20">
        <v>73</v>
      </c>
      <c r="M20">
        <v>182</v>
      </c>
      <c r="N20">
        <v>10</v>
      </c>
      <c r="O20">
        <v>10</v>
      </c>
      <c r="P20">
        <v>10</v>
      </c>
      <c r="Q20">
        <v>10</v>
      </c>
      <c r="R20">
        <v>10</v>
      </c>
      <c r="S20">
        <v>10</v>
      </c>
      <c r="T20">
        <v>10</v>
      </c>
      <c r="U20">
        <v>10</v>
      </c>
      <c r="V20">
        <v>10</v>
      </c>
      <c r="W20" t="s">
        <v>49</v>
      </c>
      <c r="AB20" t="s">
        <v>93</v>
      </c>
      <c r="AC20" t="s">
        <v>94</v>
      </c>
      <c r="AD20" t="s">
        <v>52</v>
      </c>
      <c r="AE20" t="s">
        <v>220</v>
      </c>
      <c r="AF20" t="s">
        <v>44</v>
      </c>
      <c r="AG20" t="s">
        <v>45</v>
      </c>
      <c r="AI20" t="s">
        <v>65</v>
      </c>
    </row>
    <row r="21" spans="1:35" x14ac:dyDescent="0.35">
      <c r="A21">
        <v>20162430</v>
      </c>
      <c r="B21" s="2">
        <v>46055.327448634256</v>
      </c>
      <c r="C21" s="2">
        <v>46055.328032407408</v>
      </c>
      <c r="D21">
        <v>10</v>
      </c>
      <c r="E21" s="2">
        <v>46055.375717592593</v>
      </c>
      <c r="F21" t="s">
        <v>34</v>
      </c>
      <c r="G21" t="s">
        <v>35</v>
      </c>
      <c r="I21" t="s">
        <v>95</v>
      </c>
      <c r="J21" t="s">
        <v>69</v>
      </c>
      <c r="K21" t="s">
        <v>38</v>
      </c>
      <c r="L21">
        <v>55</v>
      </c>
      <c r="M21">
        <v>55</v>
      </c>
      <c r="N21">
        <v>10</v>
      </c>
      <c r="O21">
        <v>10</v>
      </c>
      <c r="P21">
        <v>10</v>
      </c>
      <c r="Q21">
        <v>10</v>
      </c>
      <c r="R21">
        <v>10</v>
      </c>
      <c r="S21">
        <v>10</v>
      </c>
      <c r="T21">
        <v>10</v>
      </c>
      <c r="U21">
        <v>10</v>
      </c>
      <c r="V21">
        <v>10</v>
      </c>
      <c r="W21" t="s">
        <v>49</v>
      </c>
      <c r="AB21" t="s">
        <v>96</v>
      </c>
      <c r="AC21" t="s">
        <v>97</v>
      </c>
      <c r="AD21" t="s">
        <v>52</v>
      </c>
      <c r="AE21" t="s">
        <v>220</v>
      </c>
      <c r="AF21" t="s">
        <v>44</v>
      </c>
      <c r="AG21" t="s">
        <v>45</v>
      </c>
      <c r="AI21" t="s">
        <v>61</v>
      </c>
    </row>
    <row r="22" spans="1:35" x14ac:dyDescent="0.35">
      <c r="A22">
        <v>20162350</v>
      </c>
      <c r="B22" s="2">
        <v>46055.315610057871</v>
      </c>
      <c r="C22" s="2">
        <v>46055.315601851849</v>
      </c>
      <c r="D22">
        <v>10</v>
      </c>
      <c r="E22" s="2">
        <v>46055.546168981484</v>
      </c>
      <c r="F22" t="s">
        <v>34</v>
      </c>
      <c r="G22" t="s">
        <v>35</v>
      </c>
      <c r="I22" t="s">
        <v>95</v>
      </c>
      <c r="J22" t="s">
        <v>69</v>
      </c>
      <c r="K22" t="s">
        <v>38</v>
      </c>
      <c r="L22">
        <v>545</v>
      </c>
      <c r="M22">
        <v>1005</v>
      </c>
      <c r="N22">
        <v>10</v>
      </c>
      <c r="O22">
        <v>10</v>
      </c>
      <c r="P22">
        <v>10</v>
      </c>
      <c r="Q22">
        <v>10</v>
      </c>
      <c r="R22">
        <v>10</v>
      </c>
      <c r="S22">
        <v>10</v>
      </c>
      <c r="T22">
        <v>10</v>
      </c>
      <c r="U22">
        <v>10</v>
      </c>
      <c r="V22">
        <v>10</v>
      </c>
      <c r="W22" t="s">
        <v>49</v>
      </c>
      <c r="AB22" t="s">
        <v>98</v>
      </c>
      <c r="AC22" t="s">
        <v>99</v>
      </c>
      <c r="AD22" t="s">
        <v>52</v>
      </c>
      <c r="AE22" t="s">
        <v>219</v>
      </c>
      <c r="AF22" t="s">
        <v>44</v>
      </c>
      <c r="AG22" t="s">
        <v>45</v>
      </c>
      <c r="AI22" t="s">
        <v>61</v>
      </c>
    </row>
    <row r="23" spans="1:35" x14ac:dyDescent="0.35">
      <c r="A23">
        <v>20158240</v>
      </c>
      <c r="B23" s="2">
        <v>46054.378426481482</v>
      </c>
      <c r="C23" s="2">
        <v>46055.247337962966</v>
      </c>
      <c r="D23">
        <v>0</v>
      </c>
      <c r="E23" s="2">
        <v>46054.372476851851</v>
      </c>
      <c r="F23" t="s">
        <v>54</v>
      </c>
      <c r="G23" t="s">
        <v>35</v>
      </c>
      <c r="I23" t="s">
        <v>4</v>
      </c>
      <c r="J23" t="s">
        <v>55</v>
      </c>
      <c r="K23" t="s">
        <v>38</v>
      </c>
      <c r="L23">
        <v>1306</v>
      </c>
      <c r="M23">
        <v>9006</v>
      </c>
      <c r="N23">
        <v>0</v>
      </c>
      <c r="O23">
        <v>5</v>
      </c>
      <c r="P23">
        <v>0</v>
      </c>
      <c r="Q23">
        <v>0</v>
      </c>
      <c r="R23">
        <v>5</v>
      </c>
      <c r="S23">
        <v>0</v>
      </c>
      <c r="T23">
        <v>5</v>
      </c>
      <c r="U23">
        <v>0</v>
      </c>
      <c r="V23">
        <v>0</v>
      </c>
      <c r="W23" t="s">
        <v>100</v>
      </c>
      <c r="AB23" t="s">
        <v>101</v>
      </c>
      <c r="AC23" t="s">
        <v>102</v>
      </c>
      <c r="AD23" t="s">
        <v>52</v>
      </c>
      <c r="AE23" t="s">
        <v>220</v>
      </c>
      <c r="AF23" t="s">
        <v>44</v>
      </c>
      <c r="AG23" t="s">
        <v>45</v>
      </c>
      <c r="AI23" t="s">
        <v>73</v>
      </c>
    </row>
    <row r="24" spans="1:35" x14ac:dyDescent="0.35">
      <c r="A24">
        <v>20157430</v>
      </c>
      <c r="B24" s="2">
        <v>46054.375735624999</v>
      </c>
      <c r="C24" s="2">
        <v>46055.244988425926</v>
      </c>
      <c r="D24">
        <v>10</v>
      </c>
      <c r="E24" s="2">
        <v>46054.375856481478</v>
      </c>
      <c r="F24" t="s">
        <v>34</v>
      </c>
      <c r="G24" t="s">
        <v>35</v>
      </c>
      <c r="I24" t="s">
        <v>4</v>
      </c>
      <c r="J24" t="s">
        <v>69</v>
      </c>
      <c r="K24" t="s">
        <v>62</v>
      </c>
      <c r="L24">
        <v>72</v>
      </c>
      <c r="M24">
        <v>13271</v>
      </c>
      <c r="N24">
        <v>5</v>
      </c>
      <c r="O24">
        <v>5</v>
      </c>
      <c r="P24">
        <v>5</v>
      </c>
      <c r="Q24">
        <v>5</v>
      </c>
      <c r="R24">
        <v>5</v>
      </c>
      <c r="S24">
        <v>2</v>
      </c>
      <c r="T24">
        <v>5</v>
      </c>
      <c r="U24">
        <v>1</v>
      </c>
      <c r="V24">
        <v>0</v>
      </c>
      <c r="W24" t="s">
        <v>100</v>
      </c>
      <c r="AB24" t="s">
        <v>103</v>
      </c>
      <c r="AC24" t="s">
        <v>104</v>
      </c>
      <c r="AD24" t="s">
        <v>52</v>
      </c>
      <c r="AE24" t="s">
        <v>220</v>
      </c>
      <c r="AF24" t="s">
        <v>85</v>
      </c>
      <c r="AG24" t="s">
        <v>45</v>
      </c>
      <c r="AI24" t="s">
        <v>86</v>
      </c>
    </row>
    <row r="25" spans="1:35" x14ac:dyDescent="0.35">
      <c r="A25">
        <v>20136931</v>
      </c>
      <c r="B25" s="2">
        <v>46050.380451886573</v>
      </c>
      <c r="C25" s="2">
        <v>46055.238645833335</v>
      </c>
      <c r="D25">
        <v>5</v>
      </c>
      <c r="E25" s="2">
        <v>46050.001921296294</v>
      </c>
      <c r="F25" t="s">
        <v>58</v>
      </c>
      <c r="G25" t="s">
        <v>35</v>
      </c>
      <c r="I25" t="s">
        <v>48</v>
      </c>
      <c r="J25" t="s">
        <v>37</v>
      </c>
      <c r="K25" t="s">
        <v>38</v>
      </c>
      <c r="L25">
        <v>328</v>
      </c>
      <c r="M25">
        <v>17793</v>
      </c>
      <c r="N25">
        <v>5</v>
      </c>
      <c r="O25">
        <v>6</v>
      </c>
      <c r="P25">
        <v>8</v>
      </c>
      <c r="Q25">
        <v>5</v>
      </c>
      <c r="R25">
        <v>5</v>
      </c>
      <c r="S25">
        <v>4</v>
      </c>
      <c r="T25">
        <v>7</v>
      </c>
      <c r="U25">
        <v>4</v>
      </c>
      <c r="V25">
        <v>0</v>
      </c>
      <c r="W25" t="s">
        <v>40</v>
      </c>
      <c r="AB25" t="s">
        <v>105</v>
      </c>
      <c r="AC25" t="s">
        <v>106</v>
      </c>
      <c r="AD25" t="s">
        <v>52</v>
      </c>
      <c r="AE25" t="s">
        <v>220</v>
      </c>
      <c r="AF25" t="s">
        <v>85</v>
      </c>
      <c r="AG25" t="s">
        <v>45</v>
      </c>
      <c r="AI25" t="s">
        <v>86</v>
      </c>
    </row>
    <row r="26" spans="1:35" x14ac:dyDescent="0.35">
      <c r="A26">
        <v>20161833</v>
      </c>
      <c r="B26" s="2">
        <v>46055.225441655093</v>
      </c>
      <c r="C26" s="2">
        <v>46055.226273148146</v>
      </c>
      <c r="D26">
        <v>10</v>
      </c>
      <c r="E26" s="2">
        <v>46055.557870370372</v>
      </c>
      <c r="F26" t="s">
        <v>34</v>
      </c>
      <c r="G26" t="s">
        <v>35</v>
      </c>
      <c r="I26" t="s">
        <v>95</v>
      </c>
      <c r="J26" t="s">
        <v>69</v>
      </c>
      <c r="K26" t="s">
        <v>38</v>
      </c>
      <c r="L26">
        <v>23</v>
      </c>
      <c r="M26">
        <v>24</v>
      </c>
      <c r="N26">
        <v>10</v>
      </c>
      <c r="O26">
        <v>10</v>
      </c>
      <c r="P26">
        <v>10</v>
      </c>
      <c r="Q26">
        <v>10</v>
      </c>
      <c r="R26">
        <v>10</v>
      </c>
      <c r="S26">
        <v>10</v>
      </c>
      <c r="T26">
        <v>10</v>
      </c>
      <c r="U26">
        <v>10</v>
      </c>
      <c r="V26">
        <v>10</v>
      </c>
      <c r="W26" t="s">
        <v>49</v>
      </c>
      <c r="AB26" t="s">
        <v>107</v>
      </c>
      <c r="AC26" t="s">
        <v>83</v>
      </c>
      <c r="AD26" t="s">
        <v>52</v>
      </c>
      <c r="AE26" t="s">
        <v>220</v>
      </c>
      <c r="AF26" t="s">
        <v>44</v>
      </c>
      <c r="AG26" t="s">
        <v>45</v>
      </c>
      <c r="AI26" t="s">
        <v>73</v>
      </c>
    </row>
    <row r="27" spans="1:35" x14ac:dyDescent="0.35">
      <c r="A27">
        <v>20152414</v>
      </c>
      <c r="B27" s="2">
        <v>46053.376192025462</v>
      </c>
      <c r="C27" s="2">
        <v>46055.224039351851</v>
      </c>
      <c r="D27">
        <v>10</v>
      </c>
      <c r="E27" s="2">
        <v>46053.52171296296</v>
      </c>
      <c r="F27" t="s">
        <v>58</v>
      </c>
      <c r="G27" t="s">
        <v>35</v>
      </c>
      <c r="I27" t="s">
        <v>4</v>
      </c>
      <c r="J27" t="s">
        <v>69</v>
      </c>
      <c r="K27" t="s">
        <v>38</v>
      </c>
      <c r="L27">
        <v>549</v>
      </c>
      <c r="M27">
        <v>5312</v>
      </c>
      <c r="N27">
        <v>10</v>
      </c>
      <c r="O27">
        <v>10</v>
      </c>
      <c r="P27">
        <v>10</v>
      </c>
      <c r="Q27">
        <v>10</v>
      </c>
      <c r="R27">
        <v>10</v>
      </c>
      <c r="S27">
        <v>10</v>
      </c>
      <c r="T27">
        <v>10</v>
      </c>
      <c r="U27">
        <v>10</v>
      </c>
      <c r="V27">
        <v>10</v>
      </c>
      <c r="W27" t="s">
        <v>49</v>
      </c>
      <c r="AB27" t="s">
        <v>108</v>
      </c>
      <c r="AC27" t="s">
        <v>109</v>
      </c>
      <c r="AD27" t="s">
        <v>52</v>
      </c>
      <c r="AE27" t="s">
        <v>219</v>
      </c>
      <c r="AF27" t="s">
        <v>44</v>
      </c>
      <c r="AG27" t="s">
        <v>45</v>
      </c>
      <c r="AI27" t="s">
        <v>61</v>
      </c>
    </row>
    <row r="28" spans="1:35" x14ac:dyDescent="0.35">
      <c r="A28">
        <v>20161700</v>
      </c>
      <c r="B28" s="2">
        <v>46055.202982754628</v>
      </c>
      <c r="C28" s="2">
        <v>46055.20721064815</v>
      </c>
      <c r="D28">
        <v>8</v>
      </c>
      <c r="E28" s="2">
        <v>46054.916944444441</v>
      </c>
      <c r="F28" t="s">
        <v>34</v>
      </c>
      <c r="G28" t="s">
        <v>35</v>
      </c>
      <c r="I28" t="s">
        <v>95</v>
      </c>
      <c r="J28" t="s">
        <v>110</v>
      </c>
      <c r="K28" t="s">
        <v>38</v>
      </c>
      <c r="L28">
        <v>122</v>
      </c>
      <c r="M28">
        <v>155</v>
      </c>
      <c r="N28">
        <v>8</v>
      </c>
      <c r="O28">
        <v>9</v>
      </c>
      <c r="P28">
        <v>9</v>
      </c>
      <c r="Q28">
        <v>8</v>
      </c>
      <c r="R28">
        <v>8</v>
      </c>
      <c r="S28">
        <v>8</v>
      </c>
      <c r="T28">
        <v>9</v>
      </c>
      <c r="U28">
        <v>7</v>
      </c>
      <c r="V28">
        <v>4</v>
      </c>
      <c r="W28" t="s">
        <v>40</v>
      </c>
      <c r="AB28" t="s">
        <v>111</v>
      </c>
      <c r="AC28" t="s">
        <v>112</v>
      </c>
      <c r="AD28" t="s">
        <v>52</v>
      </c>
      <c r="AE28" t="s">
        <v>219</v>
      </c>
      <c r="AF28" t="s">
        <v>44</v>
      </c>
      <c r="AG28" t="s">
        <v>45</v>
      </c>
      <c r="AI28" t="s">
        <v>61</v>
      </c>
    </row>
    <row r="29" spans="1:35" x14ac:dyDescent="0.35">
      <c r="A29">
        <v>20161673</v>
      </c>
      <c r="B29" s="2">
        <v>46055.190464432868</v>
      </c>
      <c r="C29" s="2">
        <v>46055.19023148148</v>
      </c>
      <c r="D29">
        <v>0</v>
      </c>
      <c r="E29" s="2">
        <v>46055.523101851853</v>
      </c>
      <c r="F29" t="s">
        <v>34</v>
      </c>
      <c r="G29" t="s">
        <v>35</v>
      </c>
      <c r="I29" t="s">
        <v>95</v>
      </c>
      <c r="J29" t="s">
        <v>69</v>
      </c>
      <c r="K29" t="s">
        <v>38</v>
      </c>
      <c r="L29">
        <v>42</v>
      </c>
      <c r="M29">
        <v>292</v>
      </c>
      <c r="N29">
        <v>0</v>
      </c>
      <c r="O29">
        <v>0</v>
      </c>
      <c r="P29">
        <v>5</v>
      </c>
      <c r="Q29">
        <v>0</v>
      </c>
      <c r="R29">
        <v>0</v>
      </c>
      <c r="S29">
        <v>0</v>
      </c>
      <c r="T29">
        <v>0</v>
      </c>
      <c r="U29">
        <v>0</v>
      </c>
      <c r="V29">
        <v>0</v>
      </c>
      <c r="W29" t="s">
        <v>100</v>
      </c>
      <c r="AB29" t="s">
        <v>113</v>
      </c>
      <c r="AC29" t="s">
        <v>114</v>
      </c>
      <c r="AD29" t="s">
        <v>52</v>
      </c>
      <c r="AE29" t="s">
        <v>219</v>
      </c>
      <c r="AF29" t="s">
        <v>44</v>
      </c>
      <c r="AG29" t="s">
        <v>45</v>
      </c>
      <c r="AI29" t="s">
        <v>115</v>
      </c>
    </row>
    <row r="30" spans="1:35" x14ac:dyDescent="0.35">
      <c r="A30">
        <v>20147003</v>
      </c>
      <c r="B30" s="2">
        <v>46052.376321412034</v>
      </c>
      <c r="C30" s="2">
        <v>46055.132708333331</v>
      </c>
      <c r="D30">
        <v>10</v>
      </c>
      <c r="E30" s="2">
        <v>46051.947083333333</v>
      </c>
      <c r="F30" t="s">
        <v>58</v>
      </c>
      <c r="G30" t="s">
        <v>35</v>
      </c>
      <c r="I30" t="s">
        <v>48</v>
      </c>
      <c r="J30" t="s">
        <v>77</v>
      </c>
      <c r="K30" t="s">
        <v>62</v>
      </c>
      <c r="L30">
        <v>5</v>
      </c>
      <c r="M30">
        <v>53</v>
      </c>
      <c r="N30">
        <v>10</v>
      </c>
      <c r="O30">
        <v>10</v>
      </c>
      <c r="P30">
        <v>10</v>
      </c>
      <c r="Q30">
        <v>9</v>
      </c>
      <c r="R30">
        <v>10</v>
      </c>
      <c r="S30">
        <v>10</v>
      </c>
      <c r="T30">
        <v>10</v>
      </c>
      <c r="U30">
        <v>10</v>
      </c>
      <c r="V30">
        <v>10</v>
      </c>
      <c r="W30" t="s">
        <v>49</v>
      </c>
      <c r="AB30" t="s">
        <v>116</v>
      </c>
      <c r="AC30" t="s">
        <v>117</v>
      </c>
      <c r="AD30" t="s">
        <v>52</v>
      </c>
      <c r="AE30" t="s">
        <v>219</v>
      </c>
      <c r="AF30" t="s">
        <v>44</v>
      </c>
      <c r="AG30" t="s">
        <v>45</v>
      </c>
      <c r="AI30" t="s">
        <v>53</v>
      </c>
    </row>
    <row r="31" spans="1:35" x14ac:dyDescent="0.35">
      <c r="A31">
        <v>20158388</v>
      </c>
      <c r="B31" s="2">
        <v>46054.378896562499</v>
      </c>
      <c r="C31" s="2">
        <v>46055.123171296298</v>
      </c>
      <c r="D31">
        <v>8</v>
      </c>
      <c r="E31" s="2">
        <v>46054.43037037037</v>
      </c>
      <c r="F31" t="s">
        <v>34</v>
      </c>
      <c r="G31" t="s">
        <v>35</v>
      </c>
      <c r="I31" t="s">
        <v>4</v>
      </c>
      <c r="J31" t="s">
        <v>37</v>
      </c>
      <c r="K31" t="s">
        <v>38</v>
      </c>
      <c r="L31">
        <v>164</v>
      </c>
      <c r="M31">
        <v>8172</v>
      </c>
      <c r="N31">
        <v>10</v>
      </c>
      <c r="O31">
        <v>8</v>
      </c>
      <c r="P31">
        <v>10</v>
      </c>
      <c r="Q31">
        <v>10</v>
      </c>
      <c r="R31">
        <v>10</v>
      </c>
      <c r="S31">
        <v>10</v>
      </c>
      <c r="T31">
        <v>10</v>
      </c>
      <c r="U31">
        <v>10</v>
      </c>
      <c r="V31">
        <v>10</v>
      </c>
      <c r="W31" t="s">
        <v>49</v>
      </c>
      <c r="AB31" t="s">
        <v>118</v>
      </c>
      <c r="AC31" t="s">
        <v>80</v>
      </c>
      <c r="AD31" t="s">
        <v>52</v>
      </c>
      <c r="AE31" t="s">
        <v>219</v>
      </c>
      <c r="AF31" t="s">
        <v>44</v>
      </c>
      <c r="AG31" t="s">
        <v>45</v>
      </c>
      <c r="AI31" t="s">
        <v>61</v>
      </c>
    </row>
    <row r="32" spans="1:35" x14ac:dyDescent="0.35">
      <c r="A32">
        <v>20158260</v>
      </c>
      <c r="B32" s="2">
        <v>46054.378489525465</v>
      </c>
      <c r="C32" s="2">
        <v>46055.09778935185</v>
      </c>
      <c r="D32">
        <v>10</v>
      </c>
      <c r="E32" s="2">
        <v>46053.892025462963</v>
      </c>
      <c r="F32" t="s">
        <v>58</v>
      </c>
      <c r="G32" t="s">
        <v>35</v>
      </c>
      <c r="I32" t="s">
        <v>48</v>
      </c>
      <c r="J32" t="s">
        <v>119</v>
      </c>
      <c r="K32" t="s">
        <v>62</v>
      </c>
      <c r="L32">
        <v>5</v>
      </c>
      <c r="M32">
        <v>69</v>
      </c>
      <c r="N32">
        <v>10</v>
      </c>
      <c r="O32">
        <v>10</v>
      </c>
      <c r="P32">
        <v>10</v>
      </c>
      <c r="Q32">
        <v>10</v>
      </c>
      <c r="R32">
        <v>10</v>
      </c>
      <c r="S32">
        <v>10</v>
      </c>
      <c r="T32">
        <v>10</v>
      </c>
      <c r="U32">
        <v>10</v>
      </c>
      <c r="V32">
        <v>9</v>
      </c>
      <c r="W32" t="s">
        <v>49</v>
      </c>
      <c r="AB32" t="s">
        <v>67</v>
      </c>
      <c r="AC32" t="s">
        <v>72</v>
      </c>
      <c r="AD32" t="s">
        <v>52</v>
      </c>
      <c r="AE32" t="s">
        <v>219</v>
      </c>
      <c r="AF32" t="s">
        <v>44</v>
      </c>
      <c r="AG32" t="s">
        <v>45</v>
      </c>
      <c r="AI32" t="s">
        <v>73</v>
      </c>
    </row>
    <row r="33" spans="1:35" x14ac:dyDescent="0.35">
      <c r="A33">
        <v>20161342</v>
      </c>
      <c r="B33" s="2">
        <v>46055.062963206015</v>
      </c>
      <c r="C33" s="2">
        <v>46055.063668981478</v>
      </c>
      <c r="D33">
        <v>10</v>
      </c>
      <c r="E33" s="2">
        <v>46055.394201388888</v>
      </c>
      <c r="F33" t="s">
        <v>34</v>
      </c>
      <c r="G33" t="s">
        <v>35</v>
      </c>
      <c r="I33" t="s">
        <v>95</v>
      </c>
      <c r="J33" t="s">
        <v>120</v>
      </c>
      <c r="K33" t="s">
        <v>38</v>
      </c>
      <c r="L33">
        <v>86</v>
      </c>
      <c r="M33">
        <v>87</v>
      </c>
      <c r="N33">
        <v>10</v>
      </c>
      <c r="O33">
        <v>10</v>
      </c>
      <c r="P33">
        <v>10</v>
      </c>
      <c r="Q33">
        <v>10</v>
      </c>
      <c r="R33">
        <v>10</v>
      </c>
      <c r="S33">
        <v>10</v>
      </c>
      <c r="T33">
        <v>10</v>
      </c>
      <c r="U33">
        <v>10</v>
      </c>
      <c r="V33">
        <v>8</v>
      </c>
      <c r="W33" t="s">
        <v>49</v>
      </c>
      <c r="AB33" t="s">
        <v>121</v>
      </c>
      <c r="AC33" t="s">
        <v>122</v>
      </c>
      <c r="AD33" t="s">
        <v>52</v>
      </c>
      <c r="AE33" t="s">
        <v>220</v>
      </c>
      <c r="AF33" t="s">
        <v>44</v>
      </c>
      <c r="AG33" t="s">
        <v>45</v>
      </c>
      <c r="AI33" t="s">
        <v>53</v>
      </c>
    </row>
    <row r="34" spans="1:35" x14ac:dyDescent="0.35">
      <c r="A34">
        <v>20136136</v>
      </c>
      <c r="B34" s="2">
        <v>46050.377629467592</v>
      </c>
      <c r="C34" s="2">
        <v>46055.027800925927</v>
      </c>
      <c r="D34">
        <v>0</v>
      </c>
      <c r="E34" s="2">
        <v>46050.154143518521</v>
      </c>
      <c r="F34" t="s">
        <v>54</v>
      </c>
      <c r="G34" t="s">
        <v>35</v>
      </c>
      <c r="I34" t="s">
        <v>48</v>
      </c>
      <c r="J34" t="s">
        <v>69</v>
      </c>
      <c r="K34" t="s">
        <v>62</v>
      </c>
      <c r="L34">
        <v>13</v>
      </c>
      <c r="M34">
        <v>2791</v>
      </c>
      <c r="N34">
        <v>0</v>
      </c>
      <c r="O34">
        <v>0</v>
      </c>
      <c r="P34">
        <v>0</v>
      </c>
      <c r="Q34">
        <v>0</v>
      </c>
      <c r="R34">
        <v>0</v>
      </c>
      <c r="S34">
        <v>0</v>
      </c>
      <c r="T34">
        <v>0</v>
      </c>
      <c r="U34">
        <v>0</v>
      </c>
      <c r="V34">
        <v>0</v>
      </c>
      <c r="W34" t="s">
        <v>100</v>
      </c>
      <c r="AB34" t="s">
        <v>123</v>
      </c>
      <c r="AC34" t="s">
        <v>124</v>
      </c>
      <c r="AD34" t="s">
        <v>52</v>
      </c>
      <c r="AE34" t="s">
        <v>220</v>
      </c>
      <c r="AF34" t="s">
        <v>44</v>
      </c>
      <c r="AG34" t="s">
        <v>45</v>
      </c>
      <c r="AI34" t="s">
        <v>46</v>
      </c>
    </row>
    <row r="35" spans="1:35" x14ac:dyDescent="0.35">
      <c r="A35">
        <v>20136156</v>
      </c>
      <c r="B35" s="2">
        <v>46050.377690266207</v>
      </c>
      <c r="C35" s="2">
        <v>46054.991377314815</v>
      </c>
      <c r="D35">
        <v>10</v>
      </c>
      <c r="E35" s="2">
        <v>46049.745729166665</v>
      </c>
      <c r="F35" t="s">
        <v>34</v>
      </c>
      <c r="G35" t="s">
        <v>35</v>
      </c>
      <c r="I35" t="s">
        <v>48</v>
      </c>
      <c r="J35" t="s">
        <v>69</v>
      </c>
      <c r="K35" t="s">
        <v>62</v>
      </c>
      <c r="L35">
        <v>60</v>
      </c>
      <c r="M35">
        <v>84</v>
      </c>
      <c r="N35">
        <v>10</v>
      </c>
      <c r="O35">
        <v>10</v>
      </c>
      <c r="P35">
        <v>10</v>
      </c>
      <c r="Q35">
        <v>10</v>
      </c>
      <c r="R35">
        <v>10</v>
      </c>
      <c r="S35">
        <v>10</v>
      </c>
      <c r="T35">
        <v>10</v>
      </c>
      <c r="U35">
        <v>10</v>
      </c>
      <c r="V35">
        <v>10</v>
      </c>
      <c r="AB35" t="s">
        <v>125</v>
      </c>
      <c r="AC35" t="s">
        <v>88</v>
      </c>
      <c r="AD35" t="s">
        <v>52</v>
      </c>
      <c r="AE35" t="s">
        <v>219</v>
      </c>
      <c r="AF35" t="s">
        <v>44</v>
      </c>
      <c r="AG35" t="s">
        <v>45</v>
      </c>
      <c r="AI35" t="s">
        <v>126</v>
      </c>
    </row>
    <row r="36" spans="1:35" x14ac:dyDescent="0.35">
      <c r="A36">
        <v>20130593</v>
      </c>
      <c r="B36" s="2">
        <v>46049.377777731483</v>
      </c>
      <c r="C36" s="2">
        <v>46054.960601851853</v>
      </c>
      <c r="D36">
        <v>10</v>
      </c>
      <c r="E36" s="2">
        <v>46049.038935185185</v>
      </c>
      <c r="F36" t="s">
        <v>58</v>
      </c>
      <c r="G36" t="s">
        <v>35</v>
      </c>
      <c r="I36" t="s">
        <v>48</v>
      </c>
      <c r="J36" t="s">
        <v>37</v>
      </c>
      <c r="K36" t="s">
        <v>62</v>
      </c>
      <c r="L36">
        <v>20</v>
      </c>
      <c r="M36">
        <v>54</v>
      </c>
      <c r="N36">
        <v>10</v>
      </c>
      <c r="O36">
        <v>10</v>
      </c>
      <c r="P36">
        <v>10</v>
      </c>
      <c r="Q36">
        <v>10</v>
      </c>
      <c r="R36">
        <v>10</v>
      </c>
      <c r="S36">
        <v>10</v>
      </c>
      <c r="T36">
        <v>10</v>
      </c>
      <c r="U36">
        <v>10</v>
      </c>
      <c r="V36">
        <v>10</v>
      </c>
      <c r="W36" t="s">
        <v>49</v>
      </c>
      <c r="AB36" t="s">
        <v>127</v>
      </c>
      <c r="AC36" t="s">
        <v>97</v>
      </c>
      <c r="AD36" t="s">
        <v>52</v>
      </c>
      <c r="AE36" t="s">
        <v>220</v>
      </c>
      <c r="AF36" t="s">
        <v>44</v>
      </c>
      <c r="AG36" t="s">
        <v>45</v>
      </c>
      <c r="AI36" t="s">
        <v>73</v>
      </c>
    </row>
    <row r="37" spans="1:35" x14ac:dyDescent="0.35">
      <c r="A37">
        <v>20153182</v>
      </c>
      <c r="B37" s="2">
        <v>46053.378688391203</v>
      </c>
      <c r="C37" s="2">
        <v>46054.91306712963</v>
      </c>
      <c r="D37">
        <v>10</v>
      </c>
      <c r="E37" s="2">
        <v>46052.81795138889</v>
      </c>
      <c r="F37" t="s">
        <v>128</v>
      </c>
      <c r="G37" t="s">
        <v>35</v>
      </c>
      <c r="I37" t="s">
        <v>4</v>
      </c>
      <c r="J37" t="s">
        <v>55</v>
      </c>
      <c r="K37" t="s">
        <v>38</v>
      </c>
      <c r="L37">
        <v>209</v>
      </c>
      <c r="M37">
        <v>10120</v>
      </c>
      <c r="N37">
        <v>10</v>
      </c>
      <c r="O37">
        <v>10</v>
      </c>
      <c r="P37">
        <v>10</v>
      </c>
      <c r="Q37">
        <v>10</v>
      </c>
      <c r="R37">
        <v>10</v>
      </c>
      <c r="S37">
        <v>10</v>
      </c>
      <c r="T37">
        <v>10</v>
      </c>
      <c r="U37">
        <v>10</v>
      </c>
      <c r="V37">
        <v>10</v>
      </c>
      <c r="W37" t="s">
        <v>49</v>
      </c>
      <c r="AB37" t="s">
        <v>129</v>
      </c>
      <c r="AC37" t="s">
        <v>130</v>
      </c>
      <c r="AD37" t="s">
        <v>52</v>
      </c>
      <c r="AE37" t="s">
        <v>220</v>
      </c>
      <c r="AF37" t="s">
        <v>44</v>
      </c>
      <c r="AG37" t="s">
        <v>45</v>
      </c>
      <c r="AI37" t="s">
        <v>53</v>
      </c>
    </row>
    <row r="38" spans="1:35" x14ac:dyDescent="0.35">
      <c r="A38">
        <v>20157500</v>
      </c>
      <c r="B38" s="2">
        <v>46054.375948877314</v>
      </c>
      <c r="C38" s="2">
        <v>46054.909108796295</v>
      </c>
      <c r="D38">
        <v>10</v>
      </c>
      <c r="E38" s="2">
        <v>46054.197245370371</v>
      </c>
      <c r="F38" t="s">
        <v>131</v>
      </c>
      <c r="G38" t="s">
        <v>35</v>
      </c>
      <c r="I38" t="s">
        <v>4</v>
      </c>
      <c r="J38" t="s">
        <v>37</v>
      </c>
      <c r="K38" t="s">
        <v>38</v>
      </c>
      <c r="L38">
        <v>133</v>
      </c>
      <c r="M38">
        <v>8778</v>
      </c>
      <c r="N38">
        <v>10</v>
      </c>
      <c r="O38">
        <v>10</v>
      </c>
      <c r="P38">
        <v>10</v>
      </c>
      <c r="Q38">
        <v>10</v>
      </c>
      <c r="R38">
        <v>10</v>
      </c>
      <c r="S38">
        <v>10</v>
      </c>
      <c r="T38">
        <v>10</v>
      </c>
      <c r="U38">
        <v>10</v>
      </c>
      <c r="V38">
        <v>10</v>
      </c>
      <c r="W38" t="s">
        <v>49</v>
      </c>
      <c r="AB38" t="s">
        <v>132</v>
      </c>
      <c r="AC38" t="s">
        <v>133</v>
      </c>
      <c r="AD38" t="s">
        <v>52</v>
      </c>
      <c r="AE38" t="s">
        <v>219</v>
      </c>
      <c r="AF38" t="s">
        <v>44</v>
      </c>
      <c r="AG38" t="s">
        <v>45</v>
      </c>
      <c r="AI38" t="s">
        <v>126</v>
      </c>
    </row>
    <row r="39" spans="1:35" x14ac:dyDescent="0.35">
      <c r="A39">
        <v>20125106</v>
      </c>
      <c r="B39" s="2">
        <v>46048.378163125002</v>
      </c>
      <c r="C39" s="2">
        <v>46054.90902777778</v>
      </c>
      <c r="D39">
        <v>7</v>
      </c>
      <c r="E39" s="2">
        <v>46048.211458333331</v>
      </c>
      <c r="F39" t="s">
        <v>34</v>
      </c>
      <c r="G39" t="s">
        <v>35</v>
      </c>
      <c r="I39" t="s">
        <v>48</v>
      </c>
      <c r="J39" t="s">
        <v>71</v>
      </c>
      <c r="K39" t="s">
        <v>62</v>
      </c>
      <c r="L39">
        <v>8</v>
      </c>
      <c r="M39">
        <v>109</v>
      </c>
      <c r="N39">
        <v>9</v>
      </c>
      <c r="O39">
        <v>9</v>
      </c>
      <c r="P39">
        <v>9</v>
      </c>
      <c r="Q39">
        <v>9</v>
      </c>
      <c r="R39">
        <v>9</v>
      </c>
      <c r="S39">
        <v>9</v>
      </c>
      <c r="T39">
        <v>9</v>
      </c>
      <c r="U39">
        <v>8</v>
      </c>
      <c r="V39">
        <v>4</v>
      </c>
      <c r="W39" t="s">
        <v>49</v>
      </c>
      <c r="AB39" t="s">
        <v>134</v>
      </c>
      <c r="AC39" t="s">
        <v>135</v>
      </c>
      <c r="AD39" t="s">
        <v>136</v>
      </c>
      <c r="AE39" t="s">
        <v>220</v>
      </c>
      <c r="AF39" t="s">
        <v>44</v>
      </c>
      <c r="AG39" t="s">
        <v>45</v>
      </c>
      <c r="AI39" t="s">
        <v>137</v>
      </c>
    </row>
    <row r="40" spans="1:35" x14ac:dyDescent="0.35">
      <c r="A40">
        <v>20160899</v>
      </c>
      <c r="B40" s="2">
        <v>46054.882509386574</v>
      </c>
      <c r="C40" s="2">
        <v>46054.884039351855</v>
      </c>
      <c r="D40">
        <v>5</v>
      </c>
      <c r="E40" s="2">
        <v>46055.084780092591</v>
      </c>
      <c r="F40" t="s">
        <v>34</v>
      </c>
      <c r="G40" t="s">
        <v>35</v>
      </c>
      <c r="I40" t="s">
        <v>95</v>
      </c>
      <c r="J40" t="s">
        <v>66</v>
      </c>
      <c r="K40" t="s">
        <v>38</v>
      </c>
      <c r="L40">
        <v>138</v>
      </c>
      <c r="M40">
        <v>13309</v>
      </c>
      <c r="N40">
        <v>3</v>
      </c>
      <c r="O40">
        <v>5</v>
      </c>
      <c r="P40">
        <v>2</v>
      </c>
      <c r="Q40">
        <v>8</v>
      </c>
      <c r="R40">
        <v>8</v>
      </c>
      <c r="S40">
        <v>0</v>
      </c>
      <c r="T40">
        <v>0</v>
      </c>
      <c r="U40">
        <v>0</v>
      </c>
      <c r="V40">
        <v>1</v>
      </c>
      <c r="W40" t="s">
        <v>100</v>
      </c>
      <c r="AB40" t="s">
        <v>138</v>
      </c>
      <c r="AC40" t="s">
        <v>139</v>
      </c>
      <c r="AD40" t="s">
        <v>52</v>
      </c>
      <c r="AE40" t="s">
        <v>219</v>
      </c>
      <c r="AF40" t="s">
        <v>85</v>
      </c>
      <c r="AG40" t="s">
        <v>45</v>
      </c>
      <c r="AI40" t="s">
        <v>86</v>
      </c>
    </row>
    <row r="41" spans="1:35" x14ac:dyDescent="0.35">
      <c r="A41">
        <v>20131109</v>
      </c>
      <c r="B41" s="2">
        <v>46049.379319687498</v>
      </c>
      <c r="C41" s="2">
        <v>46054.877141203702</v>
      </c>
      <c r="D41">
        <v>10</v>
      </c>
      <c r="E41" s="2">
        <v>46049.402627314812</v>
      </c>
      <c r="F41" t="s">
        <v>54</v>
      </c>
      <c r="G41" t="s">
        <v>35</v>
      </c>
      <c r="I41" t="s">
        <v>4</v>
      </c>
      <c r="J41" t="s">
        <v>77</v>
      </c>
      <c r="K41" t="s">
        <v>38</v>
      </c>
      <c r="L41">
        <v>80</v>
      </c>
      <c r="M41">
        <v>7495</v>
      </c>
      <c r="N41">
        <v>10</v>
      </c>
      <c r="O41">
        <v>10</v>
      </c>
      <c r="P41">
        <v>10</v>
      </c>
      <c r="Q41">
        <v>10</v>
      </c>
      <c r="R41">
        <v>10</v>
      </c>
      <c r="S41">
        <v>10</v>
      </c>
      <c r="T41">
        <v>10</v>
      </c>
      <c r="U41">
        <v>10</v>
      </c>
      <c r="V41">
        <v>10</v>
      </c>
      <c r="W41" t="s">
        <v>49</v>
      </c>
      <c r="AB41" t="s">
        <v>140</v>
      </c>
      <c r="AC41" t="s">
        <v>139</v>
      </c>
      <c r="AD41" t="s">
        <v>52</v>
      </c>
      <c r="AE41" t="s">
        <v>220</v>
      </c>
      <c r="AF41" t="s">
        <v>44</v>
      </c>
      <c r="AG41" t="s">
        <v>45</v>
      </c>
      <c r="AI41" t="s">
        <v>53</v>
      </c>
    </row>
    <row r="42" spans="1:35" x14ac:dyDescent="0.35">
      <c r="A42">
        <v>20160847</v>
      </c>
      <c r="B42" s="2">
        <v>46054.862181446762</v>
      </c>
      <c r="C42" s="2">
        <v>46054.863368055558</v>
      </c>
      <c r="D42">
        <v>10</v>
      </c>
      <c r="E42" s="2">
        <v>46055.194953703707</v>
      </c>
      <c r="F42" t="s">
        <v>34</v>
      </c>
      <c r="G42" t="s">
        <v>35</v>
      </c>
      <c r="I42" t="s">
        <v>95</v>
      </c>
      <c r="J42" t="s">
        <v>69</v>
      </c>
      <c r="K42" t="s">
        <v>38</v>
      </c>
      <c r="L42">
        <v>7</v>
      </c>
      <c r="M42">
        <v>7</v>
      </c>
      <c r="N42">
        <v>10</v>
      </c>
      <c r="O42">
        <v>10</v>
      </c>
      <c r="P42">
        <v>10</v>
      </c>
      <c r="Q42">
        <v>10</v>
      </c>
      <c r="R42">
        <v>10</v>
      </c>
      <c r="S42">
        <v>10</v>
      </c>
      <c r="T42">
        <v>10</v>
      </c>
      <c r="U42">
        <v>10</v>
      </c>
      <c r="V42">
        <v>10</v>
      </c>
      <c r="W42" t="s">
        <v>49</v>
      </c>
      <c r="AB42" t="s">
        <v>141</v>
      </c>
      <c r="AC42" t="s">
        <v>142</v>
      </c>
      <c r="AD42" t="s">
        <v>52</v>
      </c>
      <c r="AE42" t="s">
        <v>220</v>
      </c>
      <c r="AF42" t="s">
        <v>44</v>
      </c>
      <c r="AG42" t="s">
        <v>45</v>
      </c>
      <c r="AI42" t="s">
        <v>73</v>
      </c>
    </row>
    <row r="43" spans="1:35" x14ac:dyDescent="0.35">
      <c r="A43">
        <v>20157809</v>
      </c>
      <c r="B43" s="2">
        <v>46054.377017673614</v>
      </c>
      <c r="C43" s="2">
        <v>46054.824189814812</v>
      </c>
      <c r="D43">
        <v>7</v>
      </c>
      <c r="E43" s="2">
        <v>46054.103483796294</v>
      </c>
      <c r="F43" t="s">
        <v>58</v>
      </c>
      <c r="G43" t="s">
        <v>35</v>
      </c>
      <c r="I43" t="s">
        <v>48</v>
      </c>
      <c r="J43" t="s">
        <v>55</v>
      </c>
      <c r="K43" t="s">
        <v>62</v>
      </c>
      <c r="L43">
        <v>8</v>
      </c>
      <c r="M43">
        <v>47</v>
      </c>
      <c r="N43">
        <v>9</v>
      </c>
      <c r="O43">
        <v>8</v>
      </c>
      <c r="P43">
        <v>10</v>
      </c>
      <c r="Q43">
        <v>9</v>
      </c>
      <c r="R43">
        <v>9</v>
      </c>
      <c r="S43">
        <v>9</v>
      </c>
      <c r="T43">
        <v>10</v>
      </c>
      <c r="U43">
        <v>10</v>
      </c>
      <c r="V43">
        <v>8</v>
      </c>
      <c r="W43" t="s">
        <v>49</v>
      </c>
      <c r="AB43" t="s">
        <v>143</v>
      </c>
      <c r="AC43" t="s">
        <v>144</v>
      </c>
      <c r="AD43" t="s">
        <v>52</v>
      </c>
      <c r="AE43" t="s">
        <v>220</v>
      </c>
      <c r="AF43" t="s">
        <v>44</v>
      </c>
      <c r="AG43" t="s">
        <v>45</v>
      </c>
      <c r="AI43" t="s">
        <v>53</v>
      </c>
    </row>
    <row r="44" spans="1:35" x14ac:dyDescent="0.35">
      <c r="A44">
        <v>20157343</v>
      </c>
      <c r="B44" s="2">
        <v>46054.375498321759</v>
      </c>
      <c r="C44" s="2">
        <v>46054.786145833335</v>
      </c>
      <c r="D44">
        <v>10</v>
      </c>
      <c r="E44" s="2">
        <v>46054.048101851855</v>
      </c>
      <c r="F44" t="s">
        <v>54</v>
      </c>
      <c r="G44" t="s">
        <v>35</v>
      </c>
      <c r="I44" t="s">
        <v>4</v>
      </c>
      <c r="J44" t="s">
        <v>71</v>
      </c>
      <c r="K44" t="s">
        <v>62</v>
      </c>
      <c r="L44">
        <v>35</v>
      </c>
      <c r="M44">
        <v>581</v>
      </c>
      <c r="N44">
        <v>8</v>
      </c>
      <c r="O44">
        <v>10</v>
      </c>
      <c r="P44">
        <v>10</v>
      </c>
      <c r="Q44">
        <v>10</v>
      </c>
      <c r="R44">
        <v>10</v>
      </c>
      <c r="S44">
        <v>10</v>
      </c>
      <c r="T44">
        <v>10</v>
      </c>
      <c r="U44">
        <v>7</v>
      </c>
      <c r="V44">
        <v>10</v>
      </c>
      <c r="W44" t="s">
        <v>49</v>
      </c>
      <c r="AB44" t="s">
        <v>145</v>
      </c>
      <c r="AC44" t="s">
        <v>109</v>
      </c>
      <c r="AD44" t="s">
        <v>52</v>
      </c>
      <c r="AE44" t="s">
        <v>219</v>
      </c>
      <c r="AF44" t="s">
        <v>44</v>
      </c>
      <c r="AG44" t="s">
        <v>45</v>
      </c>
      <c r="AI44" t="s">
        <v>53</v>
      </c>
    </row>
    <row r="45" spans="1:35" x14ac:dyDescent="0.35">
      <c r="A45">
        <v>20158861</v>
      </c>
      <c r="B45" s="2">
        <v>46054.38065979167</v>
      </c>
      <c r="C45" s="2">
        <v>46054.773321759261</v>
      </c>
      <c r="D45">
        <v>6</v>
      </c>
      <c r="E45" s="2">
        <v>46054.230833333335</v>
      </c>
      <c r="F45" t="s">
        <v>54</v>
      </c>
      <c r="G45" t="s">
        <v>35</v>
      </c>
      <c r="I45" t="s">
        <v>4</v>
      </c>
      <c r="J45" t="s">
        <v>66</v>
      </c>
      <c r="K45" t="s">
        <v>38</v>
      </c>
      <c r="L45">
        <v>471</v>
      </c>
      <c r="M45">
        <v>27576</v>
      </c>
      <c r="N45">
        <v>6</v>
      </c>
      <c r="O45">
        <v>8</v>
      </c>
      <c r="P45">
        <v>8</v>
      </c>
      <c r="Q45">
        <v>8</v>
      </c>
      <c r="R45">
        <v>7</v>
      </c>
      <c r="S45">
        <v>7</v>
      </c>
      <c r="T45">
        <v>8</v>
      </c>
      <c r="U45">
        <v>5</v>
      </c>
      <c r="V45">
        <v>3</v>
      </c>
      <c r="W45" t="s">
        <v>100</v>
      </c>
      <c r="AB45" t="s">
        <v>145</v>
      </c>
      <c r="AC45" t="s">
        <v>109</v>
      </c>
      <c r="AD45" t="s">
        <v>52</v>
      </c>
      <c r="AE45" t="s">
        <v>219</v>
      </c>
      <c r="AF45" t="s">
        <v>44</v>
      </c>
      <c r="AG45" t="s">
        <v>45</v>
      </c>
      <c r="AI45" t="s">
        <v>115</v>
      </c>
    </row>
    <row r="46" spans="1:35" x14ac:dyDescent="0.35">
      <c r="A46">
        <v>20160561</v>
      </c>
      <c r="B46" s="2">
        <v>46054.756032974539</v>
      </c>
      <c r="C46" s="2">
        <v>46054.756597222222</v>
      </c>
      <c r="D46">
        <v>9</v>
      </c>
      <c r="E46" s="2">
        <v>46055.087905092594</v>
      </c>
      <c r="F46" t="s">
        <v>34</v>
      </c>
      <c r="G46" t="s">
        <v>47</v>
      </c>
      <c r="I46" t="s">
        <v>95</v>
      </c>
      <c r="J46" t="s">
        <v>119</v>
      </c>
      <c r="K46" t="s">
        <v>38</v>
      </c>
      <c r="L46">
        <v>19</v>
      </c>
      <c r="M46">
        <v>19</v>
      </c>
      <c r="N46">
        <v>9</v>
      </c>
      <c r="O46">
        <v>9</v>
      </c>
      <c r="P46">
        <v>9</v>
      </c>
      <c r="Q46">
        <v>9</v>
      </c>
      <c r="R46">
        <v>9</v>
      </c>
      <c r="S46">
        <v>9</v>
      </c>
      <c r="T46">
        <v>9</v>
      </c>
      <c r="U46">
        <v>9</v>
      </c>
      <c r="V46">
        <v>9</v>
      </c>
      <c r="W46" t="s">
        <v>49</v>
      </c>
      <c r="AB46" t="s">
        <v>74</v>
      </c>
      <c r="AC46" t="s">
        <v>75</v>
      </c>
      <c r="AD46" t="s">
        <v>52</v>
      </c>
      <c r="AE46" t="s">
        <v>219</v>
      </c>
      <c r="AF46" t="s">
        <v>44</v>
      </c>
      <c r="AG46" t="s">
        <v>45</v>
      </c>
      <c r="AI46" t="s">
        <v>73</v>
      </c>
    </row>
    <row r="47" spans="1:35" x14ac:dyDescent="0.35">
      <c r="A47">
        <v>20157707</v>
      </c>
      <c r="B47" s="2">
        <v>46054.376669039353</v>
      </c>
      <c r="C47" s="2">
        <v>46054.756562499999</v>
      </c>
      <c r="D47">
        <v>10</v>
      </c>
      <c r="E47" s="2">
        <v>46053.993217592593</v>
      </c>
      <c r="F47" t="s">
        <v>54</v>
      </c>
      <c r="G47" t="s">
        <v>35</v>
      </c>
      <c r="I47" t="s">
        <v>4</v>
      </c>
      <c r="J47" t="s">
        <v>69</v>
      </c>
      <c r="K47" t="s">
        <v>38</v>
      </c>
      <c r="L47">
        <v>631</v>
      </c>
      <c r="M47">
        <v>1861</v>
      </c>
      <c r="N47">
        <v>10</v>
      </c>
      <c r="O47">
        <v>10</v>
      </c>
      <c r="P47">
        <v>10</v>
      </c>
      <c r="Q47">
        <v>10</v>
      </c>
      <c r="R47">
        <v>10</v>
      </c>
      <c r="S47">
        <v>10</v>
      </c>
      <c r="T47">
        <v>10</v>
      </c>
      <c r="U47">
        <v>10</v>
      </c>
      <c r="V47">
        <v>10</v>
      </c>
      <c r="W47" t="s">
        <v>49</v>
      </c>
      <c r="AB47" t="s">
        <v>145</v>
      </c>
      <c r="AC47" t="s">
        <v>109</v>
      </c>
      <c r="AD47" t="s">
        <v>52</v>
      </c>
      <c r="AE47" t="s">
        <v>219</v>
      </c>
      <c r="AF47" t="s">
        <v>44</v>
      </c>
      <c r="AG47" t="s">
        <v>45</v>
      </c>
      <c r="AI47" t="s">
        <v>126</v>
      </c>
    </row>
    <row r="48" spans="1:35" x14ac:dyDescent="0.35">
      <c r="A48">
        <v>20160525</v>
      </c>
      <c r="B48" s="2">
        <v>46054.751776192126</v>
      </c>
      <c r="C48" s="2">
        <v>46054.752395833333</v>
      </c>
      <c r="D48">
        <v>9</v>
      </c>
      <c r="E48" s="2">
        <v>46055.084409722222</v>
      </c>
      <c r="F48" t="s">
        <v>34</v>
      </c>
      <c r="G48" t="s">
        <v>35</v>
      </c>
      <c r="I48" t="s">
        <v>95</v>
      </c>
      <c r="J48" t="s">
        <v>69</v>
      </c>
      <c r="K48" t="s">
        <v>38</v>
      </c>
      <c r="L48">
        <v>441</v>
      </c>
      <c r="M48">
        <v>3091</v>
      </c>
      <c r="N48">
        <v>6</v>
      </c>
      <c r="O48">
        <v>5</v>
      </c>
      <c r="P48">
        <v>9</v>
      </c>
      <c r="Q48">
        <v>7</v>
      </c>
      <c r="R48">
        <v>8</v>
      </c>
      <c r="S48">
        <v>7</v>
      </c>
      <c r="T48">
        <v>8</v>
      </c>
      <c r="U48">
        <v>6</v>
      </c>
      <c r="V48">
        <v>10</v>
      </c>
      <c r="W48" t="s">
        <v>49</v>
      </c>
      <c r="AB48" t="s">
        <v>146</v>
      </c>
      <c r="AC48" t="s">
        <v>147</v>
      </c>
      <c r="AD48" t="s">
        <v>52</v>
      </c>
      <c r="AE48" t="s">
        <v>219</v>
      </c>
      <c r="AF48" t="s">
        <v>44</v>
      </c>
      <c r="AG48" t="s">
        <v>45</v>
      </c>
      <c r="AI48" t="s">
        <v>46</v>
      </c>
    </row>
    <row r="49" spans="1:35" x14ac:dyDescent="0.35">
      <c r="A49">
        <v>20135682</v>
      </c>
      <c r="B49" s="2">
        <v>46050.376217002318</v>
      </c>
      <c r="C49" s="2">
        <v>46054.751481481479</v>
      </c>
      <c r="D49">
        <v>7</v>
      </c>
      <c r="E49" s="2">
        <v>46050.578564814816</v>
      </c>
      <c r="F49" t="s">
        <v>54</v>
      </c>
      <c r="G49" t="s">
        <v>35</v>
      </c>
      <c r="I49" t="s">
        <v>48</v>
      </c>
      <c r="J49" t="s">
        <v>77</v>
      </c>
      <c r="K49" t="s">
        <v>62</v>
      </c>
      <c r="L49">
        <v>4</v>
      </c>
      <c r="M49">
        <v>95</v>
      </c>
      <c r="N49">
        <v>8</v>
      </c>
      <c r="O49">
        <v>7</v>
      </c>
      <c r="P49">
        <v>7</v>
      </c>
      <c r="Q49">
        <v>6</v>
      </c>
      <c r="R49">
        <v>7</v>
      </c>
      <c r="S49">
        <v>6</v>
      </c>
      <c r="T49">
        <v>6</v>
      </c>
      <c r="U49">
        <v>5</v>
      </c>
      <c r="V49">
        <v>5</v>
      </c>
      <c r="W49" t="s">
        <v>49</v>
      </c>
      <c r="AB49" t="s">
        <v>148</v>
      </c>
      <c r="AC49" t="s">
        <v>149</v>
      </c>
      <c r="AD49" t="s">
        <v>52</v>
      </c>
      <c r="AE49" t="s">
        <v>220</v>
      </c>
      <c r="AF49" t="s">
        <v>44</v>
      </c>
      <c r="AG49" t="s">
        <v>45</v>
      </c>
      <c r="AI49" t="s">
        <v>53</v>
      </c>
    </row>
    <row r="50" spans="1:35" x14ac:dyDescent="0.35">
      <c r="A50">
        <v>20160510</v>
      </c>
      <c r="B50" s="2">
        <v>46054.748014606485</v>
      </c>
      <c r="C50" s="2">
        <v>46054.749768518515</v>
      </c>
      <c r="D50">
        <v>10</v>
      </c>
      <c r="E50" s="2">
        <v>46055.077291666668</v>
      </c>
      <c r="F50" t="s">
        <v>34</v>
      </c>
      <c r="G50" t="s">
        <v>47</v>
      </c>
      <c r="I50" t="s">
        <v>95</v>
      </c>
      <c r="J50" t="s">
        <v>37</v>
      </c>
      <c r="K50" t="s">
        <v>38</v>
      </c>
      <c r="L50">
        <v>77</v>
      </c>
      <c r="M50">
        <v>121</v>
      </c>
      <c r="N50">
        <v>10</v>
      </c>
      <c r="O50">
        <v>10</v>
      </c>
      <c r="P50">
        <v>10</v>
      </c>
      <c r="Q50">
        <v>10</v>
      </c>
      <c r="R50">
        <v>10</v>
      </c>
      <c r="S50">
        <v>10</v>
      </c>
      <c r="T50">
        <v>10</v>
      </c>
      <c r="U50">
        <v>10</v>
      </c>
      <c r="V50">
        <v>10</v>
      </c>
      <c r="W50" t="s">
        <v>49</v>
      </c>
      <c r="AB50" t="s">
        <v>150</v>
      </c>
      <c r="AC50" t="s">
        <v>80</v>
      </c>
      <c r="AD50" t="s">
        <v>52</v>
      </c>
      <c r="AE50" t="s">
        <v>219</v>
      </c>
      <c r="AF50" t="s">
        <v>44</v>
      </c>
      <c r="AG50" t="s">
        <v>45</v>
      </c>
      <c r="AI50" t="s">
        <v>73</v>
      </c>
    </row>
    <row r="51" spans="1:35" x14ac:dyDescent="0.35">
      <c r="A51">
        <v>20157796</v>
      </c>
      <c r="B51" s="2">
        <v>46054.376982986112</v>
      </c>
      <c r="C51" s="2">
        <v>46054.716377314813</v>
      </c>
      <c r="D51">
        <v>10</v>
      </c>
      <c r="E51" s="2">
        <v>46054.354108796295</v>
      </c>
      <c r="F51" t="s">
        <v>34</v>
      </c>
      <c r="G51" t="s">
        <v>35</v>
      </c>
      <c r="I51" t="s">
        <v>48</v>
      </c>
      <c r="J51" t="s">
        <v>119</v>
      </c>
      <c r="K51" t="s">
        <v>62</v>
      </c>
      <c r="L51">
        <v>13</v>
      </c>
      <c r="M51">
        <v>53</v>
      </c>
      <c r="N51">
        <v>10</v>
      </c>
      <c r="O51">
        <v>10</v>
      </c>
      <c r="P51">
        <v>10</v>
      </c>
      <c r="Q51">
        <v>10</v>
      </c>
      <c r="R51">
        <v>10</v>
      </c>
      <c r="S51">
        <v>10</v>
      </c>
      <c r="T51">
        <v>10</v>
      </c>
      <c r="U51">
        <v>10</v>
      </c>
      <c r="V51">
        <v>10</v>
      </c>
      <c r="W51" t="s">
        <v>49</v>
      </c>
      <c r="AB51" t="s">
        <v>151</v>
      </c>
      <c r="AC51" t="s">
        <v>109</v>
      </c>
      <c r="AD51" t="s">
        <v>52</v>
      </c>
      <c r="AE51" t="s">
        <v>219</v>
      </c>
      <c r="AF51" t="s">
        <v>44</v>
      </c>
      <c r="AG51" t="s">
        <v>45</v>
      </c>
      <c r="AI51" t="s">
        <v>61</v>
      </c>
    </row>
    <row r="52" spans="1:35" x14ac:dyDescent="0.35">
      <c r="A52">
        <v>20157428</v>
      </c>
      <c r="B52" s="2">
        <v>46054.375735624999</v>
      </c>
      <c r="C52" s="2">
        <v>46054.712696759256</v>
      </c>
      <c r="D52">
        <v>0</v>
      </c>
      <c r="E52" s="2">
        <v>46054.588101851848</v>
      </c>
      <c r="F52" t="s">
        <v>58</v>
      </c>
      <c r="G52" t="s">
        <v>47</v>
      </c>
      <c r="I52" t="s">
        <v>4</v>
      </c>
      <c r="J52" t="s">
        <v>37</v>
      </c>
      <c r="K52" t="s">
        <v>38</v>
      </c>
      <c r="L52">
        <v>241</v>
      </c>
      <c r="M52">
        <v>573</v>
      </c>
      <c r="N52">
        <v>0</v>
      </c>
      <c r="O52">
        <v>2</v>
      </c>
      <c r="P52">
        <v>10</v>
      </c>
      <c r="Q52" t="s">
        <v>39</v>
      </c>
      <c r="R52">
        <v>10</v>
      </c>
      <c r="S52" t="s">
        <v>39</v>
      </c>
      <c r="T52">
        <v>3</v>
      </c>
      <c r="U52">
        <v>0</v>
      </c>
      <c r="V52">
        <v>0</v>
      </c>
      <c r="W52" t="s">
        <v>100</v>
      </c>
      <c r="AB52" t="s">
        <v>98</v>
      </c>
      <c r="AC52" t="s">
        <v>99</v>
      </c>
      <c r="AD52" t="s">
        <v>52</v>
      </c>
      <c r="AE52" t="s">
        <v>219</v>
      </c>
      <c r="AF52" t="s">
        <v>44</v>
      </c>
      <c r="AG52" t="s">
        <v>45</v>
      </c>
      <c r="AI52" t="s">
        <v>73</v>
      </c>
    </row>
    <row r="53" spans="1:35" x14ac:dyDescent="0.35">
      <c r="A53">
        <v>20158494</v>
      </c>
      <c r="B53" s="2">
        <v>46054.379312847224</v>
      </c>
      <c r="C53" s="2">
        <v>46054.708101851851</v>
      </c>
      <c r="D53">
        <v>10</v>
      </c>
      <c r="E53" s="2">
        <v>46054.456145833334</v>
      </c>
      <c r="F53" t="s">
        <v>34</v>
      </c>
      <c r="G53" t="s">
        <v>35</v>
      </c>
      <c r="I53" t="s">
        <v>4</v>
      </c>
      <c r="J53" t="s">
        <v>37</v>
      </c>
      <c r="K53" t="s">
        <v>38</v>
      </c>
      <c r="L53">
        <v>810</v>
      </c>
      <c r="M53">
        <v>19160</v>
      </c>
      <c r="N53">
        <v>9</v>
      </c>
      <c r="O53">
        <v>10</v>
      </c>
      <c r="P53">
        <v>10</v>
      </c>
      <c r="Q53">
        <v>10</v>
      </c>
      <c r="R53">
        <v>9</v>
      </c>
      <c r="S53">
        <v>10</v>
      </c>
      <c r="T53">
        <v>10</v>
      </c>
      <c r="U53">
        <v>10</v>
      </c>
      <c r="V53">
        <v>5</v>
      </c>
      <c r="W53" t="s">
        <v>49</v>
      </c>
      <c r="AB53" t="s">
        <v>152</v>
      </c>
      <c r="AC53" t="s">
        <v>109</v>
      </c>
      <c r="AD53" t="s">
        <v>52</v>
      </c>
      <c r="AE53" t="s">
        <v>219</v>
      </c>
      <c r="AF53" t="s">
        <v>44</v>
      </c>
      <c r="AG53" t="s">
        <v>45</v>
      </c>
      <c r="AI53" t="s">
        <v>73</v>
      </c>
    </row>
    <row r="54" spans="1:35" x14ac:dyDescent="0.35">
      <c r="A54">
        <v>20125499</v>
      </c>
      <c r="B54" s="2">
        <v>46048.379436979165</v>
      </c>
      <c r="C54" s="2">
        <v>46054.680914351855</v>
      </c>
      <c r="D54">
        <v>3</v>
      </c>
      <c r="E54" s="2">
        <v>46047.996168981481</v>
      </c>
      <c r="F54" t="s">
        <v>54</v>
      </c>
      <c r="G54" t="s">
        <v>35</v>
      </c>
      <c r="I54" t="s">
        <v>48</v>
      </c>
      <c r="J54" t="s">
        <v>110</v>
      </c>
      <c r="K54" t="s">
        <v>38</v>
      </c>
      <c r="L54">
        <v>34</v>
      </c>
      <c r="M54">
        <v>9473</v>
      </c>
      <c r="N54">
        <v>3</v>
      </c>
      <c r="O54">
        <v>10</v>
      </c>
      <c r="P54">
        <v>5</v>
      </c>
      <c r="Q54">
        <v>5</v>
      </c>
      <c r="R54">
        <v>10</v>
      </c>
      <c r="S54">
        <v>8</v>
      </c>
      <c r="T54">
        <v>8</v>
      </c>
      <c r="U54">
        <v>0</v>
      </c>
      <c r="V54">
        <v>0</v>
      </c>
      <c r="W54" t="s">
        <v>100</v>
      </c>
      <c r="AB54" t="s">
        <v>101</v>
      </c>
      <c r="AC54" t="s">
        <v>102</v>
      </c>
      <c r="AD54" t="s">
        <v>52</v>
      </c>
      <c r="AE54" t="s">
        <v>220</v>
      </c>
      <c r="AF54" t="s">
        <v>44</v>
      </c>
      <c r="AG54" t="s">
        <v>45</v>
      </c>
      <c r="AI54" t="s">
        <v>126</v>
      </c>
    </row>
    <row r="55" spans="1:35" x14ac:dyDescent="0.35">
      <c r="A55">
        <v>20160194</v>
      </c>
      <c r="B55" s="2">
        <v>46054.662350671293</v>
      </c>
      <c r="C55" s="2">
        <v>46054.665486111109</v>
      </c>
      <c r="D55">
        <v>10</v>
      </c>
      <c r="E55" s="2">
        <v>46054.994606481479</v>
      </c>
      <c r="F55" t="s">
        <v>34</v>
      </c>
      <c r="G55" t="s">
        <v>35</v>
      </c>
      <c r="I55" t="s">
        <v>95</v>
      </c>
      <c r="J55" t="s">
        <v>69</v>
      </c>
      <c r="K55" t="s">
        <v>38</v>
      </c>
      <c r="L55">
        <v>9</v>
      </c>
      <c r="M55">
        <v>9</v>
      </c>
      <c r="N55">
        <v>10</v>
      </c>
      <c r="O55">
        <v>10</v>
      </c>
      <c r="P55">
        <v>10</v>
      </c>
      <c r="Q55">
        <v>10</v>
      </c>
      <c r="R55">
        <v>10</v>
      </c>
      <c r="S55">
        <v>10</v>
      </c>
      <c r="T55">
        <v>10</v>
      </c>
      <c r="U55">
        <v>10</v>
      </c>
      <c r="V55">
        <v>10</v>
      </c>
      <c r="W55" t="s">
        <v>49</v>
      </c>
      <c r="AB55" t="s">
        <v>153</v>
      </c>
      <c r="AC55" t="s">
        <v>154</v>
      </c>
      <c r="AD55" t="s">
        <v>52</v>
      </c>
      <c r="AE55" t="s">
        <v>220</v>
      </c>
      <c r="AF55" t="s">
        <v>44</v>
      </c>
      <c r="AG55" t="s">
        <v>45</v>
      </c>
      <c r="AI55" t="s">
        <v>65</v>
      </c>
    </row>
    <row r="56" spans="1:35" x14ac:dyDescent="0.35">
      <c r="A56">
        <v>20157815</v>
      </c>
      <c r="B56" s="2">
        <v>46054.377048807874</v>
      </c>
      <c r="C56" s="2">
        <v>46054.656284722223</v>
      </c>
      <c r="D56">
        <v>0</v>
      </c>
      <c r="E56" s="2">
        <v>46054.33457175926</v>
      </c>
      <c r="F56" t="s">
        <v>34</v>
      </c>
      <c r="G56" t="s">
        <v>35</v>
      </c>
      <c r="I56" t="s">
        <v>4</v>
      </c>
      <c r="J56" t="s">
        <v>69</v>
      </c>
      <c r="K56" t="s">
        <v>62</v>
      </c>
      <c r="L56">
        <v>60</v>
      </c>
      <c r="M56">
        <v>13275</v>
      </c>
      <c r="N56">
        <v>0</v>
      </c>
      <c r="O56">
        <v>0</v>
      </c>
      <c r="P56">
        <v>0</v>
      </c>
      <c r="Q56">
        <v>0</v>
      </c>
      <c r="R56">
        <v>0</v>
      </c>
      <c r="S56">
        <v>0</v>
      </c>
      <c r="T56">
        <v>0</v>
      </c>
      <c r="U56">
        <v>0</v>
      </c>
      <c r="V56">
        <v>0</v>
      </c>
      <c r="W56" t="s">
        <v>100</v>
      </c>
      <c r="AB56" t="s">
        <v>155</v>
      </c>
      <c r="AC56" t="s">
        <v>156</v>
      </c>
      <c r="AD56" t="s">
        <v>52</v>
      </c>
      <c r="AE56" t="s">
        <v>219</v>
      </c>
      <c r="AF56" t="s">
        <v>85</v>
      </c>
      <c r="AG56" t="s">
        <v>45</v>
      </c>
      <c r="AI56" t="s">
        <v>86</v>
      </c>
    </row>
    <row r="57" spans="1:35" x14ac:dyDescent="0.35">
      <c r="A57">
        <v>20135538</v>
      </c>
      <c r="B57" s="2">
        <v>46050.37574048611</v>
      </c>
      <c r="C57" s="2">
        <v>46054.626608796294</v>
      </c>
      <c r="D57">
        <v>5</v>
      </c>
      <c r="E57" s="2">
        <v>46050.29960648148</v>
      </c>
      <c r="F57" t="s">
        <v>54</v>
      </c>
      <c r="G57" t="s">
        <v>35</v>
      </c>
      <c r="I57" t="s">
        <v>4</v>
      </c>
      <c r="J57" t="s">
        <v>55</v>
      </c>
      <c r="K57" t="s">
        <v>62</v>
      </c>
      <c r="L57">
        <v>28</v>
      </c>
      <c r="M57">
        <v>28</v>
      </c>
      <c r="N57">
        <v>7</v>
      </c>
      <c r="O57">
        <v>7</v>
      </c>
      <c r="P57">
        <v>7</v>
      </c>
      <c r="Q57">
        <v>7</v>
      </c>
      <c r="R57">
        <v>5</v>
      </c>
      <c r="S57">
        <v>7</v>
      </c>
      <c r="T57">
        <v>6</v>
      </c>
      <c r="U57">
        <v>6</v>
      </c>
      <c r="V57">
        <v>6</v>
      </c>
      <c r="W57" t="s">
        <v>40</v>
      </c>
      <c r="AB57" t="s">
        <v>157</v>
      </c>
      <c r="AC57" t="s">
        <v>102</v>
      </c>
      <c r="AD57" t="s">
        <v>52</v>
      </c>
      <c r="AE57" t="s">
        <v>220</v>
      </c>
      <c r="AF57" t="s">
        <v>44</v>
      </c>
      <c r="AG57" t="s">
        <v>45</v>
      </c>
      <c r="AI57" t="s">
        <v>73</v>
      </c>
    </row>
    <row r="58" spans="1:35" x14ac:dyDescent="0.35">
      <c r="A58">
        <v>20136771</v>
      </c>
      <c r="B58" s="2">
        <v>46050.379832962964</v>
      </c>
      <c r="C58" s="2">
        <v>46054.580590277779</v>
      </c>
      <c r="D58">
        <v>10</v>
      </c>
      <c r="E58" s="2">
        <v>46050.045185185183</v>
      </c>
      <c r="F58" t="s">
        <v>54</v>
      </c>
      <c r="G58" t="s">
        <v>35</v>
      </c>
      <c r="I58" t="s">
        <v>4</v>
      </c>
      <c r="J58" t="s">
        <v>55</v>
      </c>
      <c r="K58" t="s">
        <v>38</v>
      </c>
      <c r="L58">
        <v>526</v>
      </c>
      <c r="M58">
        <v>8654</v>
      </c>
      <c r="N58">
        <v>10</v>
      </c>
      <c r="O58">
        <v>10</v>
      </c>
      <c r="P58" t="s">
        <v>39</v>
      </c>
      <c r="Q58">
        <v>10</v>
      </c>
      <c r="R58">
        <v>10</v>
      </c>
      <c r="S58">
        <v>10</v>
      </c>
      <c r="T58">
        <v>10</v>
      </c>
      <c r="U58">
        <v>8</v>
      </c>
      <c r="V58">
        <v>10</v>
      </c>
      <c r="W58" t="s">
        <v>49</v>
      </c>
      <c r="AB58" t="s">
        <v>158</v>
      </c>
      <c r="AC58" t="s">
        <v>57</v>
      </c>
      <c r="AD58" t="s">
        <v>52</v>
      </c>
      <c r="AE58" t="s">
        <v>219</v>
      </c>
      <c r="AF58" t="s">
        <v>44</v>
      </c>
      <c r="AG58" t="s">
        <v>45</v>
      </c>
      <c r="AI58" t="s">
        <v>53</v>
      </c>
    </row>
    <row r="59" spans="1:35" x14ac:dyDescent="0.35">
      <c r="A59">
        <v>20159696</v>
      </c>
      <c r="B59" s="2">
        <v>46054.544177060183</v>
      </c>
      <c r="C59" s="2">
        <v>46054.544942129629</v>
      </c>
      <c r="D59">
        <v>0</v>
      </c>
      <c r="E59" s="2">
        <v>46054.852337962962</v>
      </c>
      <c r="F59" t="s">
        <v>34</v>
      </c>
      <c r="G59" t="s">
        <v>47</v>
      </c>
      <c r="I59" t="s">
        <v>95</v>
      </c>
      <c r="J59" t="s">
        <v>37</v>
      </c>
      <c r="K59" t="s">
        <v>38</v>
      </c>
      <c r="L59">
        <v>579</v>
      </c>
      <c r="M59">
        <v>1183</v>
      </c>
      <c r="N59">
        <v>0</v>
      </c>
      <c r="O59">
        <v>0</v>
      </c>
      <c r="P59">
        <v>0</v>
      </c>
      <c r="Q59">
        <v>0</v>
      </c>
      <c r="R59">
        <v>0</v>
      </c>
      <c r="S59">
        <v>0</v>
      </c>
      <c r="T59">
        <v>0</v>
      </c>
      <c r="U59">
        <v>0</v>
      </c>
      <c r="V59">
        <v>0</v>
      </c>
      <c r="W59" t="s">
        <v>100</v>
      </c>
      <c r="AB59" t="s">
        <v>159</v>
      </c>
      <c r="AC59" t="s">
        <v>68</v>
      </c>
      <c r="AD59" t="s">
        <v>52</v>
      </c>
      <c r="AE59" t="s">
        <v>219</v>
      </c>
      <c r="AF59" t="s">
        <v>44</v>
      </c>
      <c r="AG59" t="s">
        <v>45</v>
      </c>
      <c r="AI59" t="s">
        <v>65</v>
      </c>
    </row>
    <row r="60" spans="1:35" x14ac:dyDescent="0.35">
      <c r="A60">
        <v>20157637</v>
      </c>
      <c r="B60" s="2">
        <v>46054.376456678241</v>
      </c>
      <c r="C60" s="2">
        <v>46054.52375</v>
      </c>
      <c r="D60">
        <v>10</v>
      </c>
      <c r="E60" s="2">
        <v>46054.323657407411</v>
      </c>
      <c r="F60" t="s">
        <v>160</v>
      </c>
      <c r="G60" t="s">
        <v>35</v>
      </c>
      <c r="I60" t="s">
        <v>4</v>
      </c>
      <c r="J60" t="s">
        <v>37</v>
      </c>
      <c r="K60" t="s">
        <v>38</v>
      </c>
      <c r="L60">
        <v>76</v>
      </c>
      <c r="M60">
        <v>333</v>
      </c>
      <c r="N60">
        <v>10</v>
      </c>
      <c r="O60">
        <v>10</v>
      </c>
      <c r="P60">
        <v>10</v>
      </c>
      <c r="Q60">
        <v>10</v>
      </c>
      <c r="R60">
        <v>10</v>
      </c>
      <c r="S60">
        <v>10</v>
      </c>
      <c r="T60">
        <v>10</v>
      </c>
      <c r="U60">
        <v>9</v>
      </c>
      <c r="V60">
        <v>10</v>
      </c>
      <c r="W60" t="s">
        <v>49</v>
      </c>
      <c r="AB60" t="s">
        <v>161</v>
      </c>
      <c r="AC60" t="s">
        <v>154</v>
      </c>
      <c r="AD60" t="s">
        <v>52</v>
      </c>
      <c r="AE60" t="s">
        <v>219</v>
      </c>
      <c r="AF60" t="s">
        <v>44</v>
      </c>
      <c r="AG60" t="s">
        <v>45</v>
      </c>
      <c r="AI60" t="s">
        <v>73</v>
      </c>
    </row>
    <row r="61" spans="1:35" x14ac:dyDescent="0.35">
      <c r="A61">
        <v>20136498</v>
      </c>
      <c r="B61" s="2">
        <v>46050.378805532404</v>
      </c>
      <c r="C61" s="2">
        <v>46054.497071759259</v>
      </c>
      <c r="D61">
        <v>0</v>
      </c>
      <c r="E61" s="2">
        <v>46049.751238425924</v>
      </c>
      <c r="F61" t="s">
        <v>34</v>
      </c>
      <c r="G61" t="s">
        <v>47</v>
      </c>
      <c r="I61" t="s">
        <v>4</v>
      </c>
      <c r="J61" t="s">
        <v>37</v>
      </c>
      <c r="K61" t="s">
        <v>62</v>
      </c>
      <c r="L61">
        <v>64</v>
      </c>
      <c r="M61">
        <v>13109</v>
      </c>
      <c r="N61">
        <v>0</v>
      </c>
      <c r="O61">
        <v>0</v>
      </c>
      <c r="P61">
        <v>0</v>
      </c>
      <c r="Q61">
        <v>0</v>
      </c>
      <c r="R61">
        <v>0</v>
      </c>
      <c r="S61">
        <v>0</v>
      </c>
      <c r="T61">
        <v>0</v>
      </c>
      <c r="U61">
        <v>0</v>
      </c>
      <c r="V61">
        <v>0</v>
      </c>
      <c r="W61" t="s">
        <v>100</v>
      </c>
      <c r="AB61" t="s">
        <v>162</v>
      </c>
      <c r="AC61" t="s">
        <v>163</v>
      </c>
      <c r="AD61" t="s">
        <v>52</v>
      </c>
      <c r="AE61" t="s">
        <v>220</v>
      </c>
      <c r="AF61" t="s">
        <v>85</v>
      </c>
      <c r="AG61" t="s">
        <v>45</v>
      </c>
      <c r="AI61" t="s">
        <v>86</v>
      </c>
    </row>
    <row r="62" spans="1:35" x14ac:dyDescent="0.35">
      <c r="A62">
        <v>20135408</v>
      </c>
      <c r="B62" s="2">
        <v>46050.375321747684</v>
      </c>
      <c r="C62" s="2">
        <v>46054.472442129627</v>
      </c>
      <c r="D62">
        <v>2</v>
      </c>
      <c r="E62" s="2">
        <v>46050.458958333336</v>
      </c>
      <c r="F62" t="s">
        <v>34</v>
      </c>
      <c r="G62" t="s">
        <v>35</v>
      </c>
      <c r="I62" t="s">
        <v>48</v>
      </c>
      <c r="J62" t="s">
        <v>66</v>
      </c>
      <c r="K62" t="s">
        <v>38</v>
      </c>
      <c r="L62">
        <v>1133</v>
      </c>
      <c r="M62">
        <v>47024</v>
      </c>
      <c r="N62">
        <v>0</v>
      </c>
      <c r="O62">
        <v>0</v>
      </c>
      <c r="P62">
        <v>7</v>
      </c>
      <c r="Q62">
        <v>1</v>
      </c>
      <c r="R62">
        <v>10</v>
      </c>
      <c r="S62">
        <v>0</v>
      </c>
      <c r="T62">
        <v>0</v>
      </c>
      <c r="U62">
        <v>0</v>
      </c>
      <c r="V62">
        <v>0</v>
      </c>
      <c r="W62" t="s">
        <v>100</v>
      </c>
      <c r="AB62" t="s">
        <v>164</v>
      </c>
      <c r="AC62" t="s">
        <v>97</v>
      </c>
      <c r="AD62" t="s">
        <v>52</v>
      </c>
      <c r="AE62" t="s">
        <v>220</v>
      </c>
      <c r="AF62" t="s">
        <v>85</v>
      </c>
      <c r="AG62" t="s">
        <v>45</v>
      </c>
      <c r="AI62" t="s">
        <v>86</v>
      </c>
    </row>
    <row r="63" spans="1:35" x14ac:dyDescent="0.35">
      <c r="A63">
        <v>20158352</v>
      </c>
      <c r="B63" s="2">
        <v>46054.37877408565</v>
      </c>
      <c r="C63" s="2">
        <v>46054.462893518517</v>
      </c>
      <c r="D63">
        <v>8</v>
      </c>
      <c r="E63" s="2">
        <v>46053.824282407404</v>
      </c>
      <c r="F63" t="s">
        <v>34</v>
      </c>
      <c r="G63" t="s">
        <v>35</v>
      </c>
      <c r="I63" t="s">
        <v>48</v>
      </c>
      <c r="J63" t="s">
        <v>55</v>
      </c>
      <c r="K63" t="s">
        <v>62</v>
      </c>
      <c r="L63">
        <v>61</v>
      </c>
      <c r="M63">
        <v>93</v>
      </c>
      <c r="N63">
        <v>8</v>
      </c>
      <c r="O63">
        <v>8</v>
      </c>
      <c r="P63">
        <v>8</v>
      </c>
      <c r="Q63">
        <v>8</v>
      </c>
      <c r="R63">
        <v>8</v>
      </c>
      <c r="S63">
        <v>8</v>
      </c>
      <c r="T63">
        <v>8</v>
      </c>
      <c r="U63">
        <v>10</v>
      </c>
      <c r="V63">
        <v>4</v>
      </c>
      <c r="W63" t="s">
        <v>49</v>
      </c>
      <c r="AB63" t="s">
        <v>165</v>
      </c>
      <c r="AC63" t="s">
        <v>166</v>
      </c>
      <c r="AD63" t="s">
        <v>52</v>
      </c>
      <c r="AE63" t="s">
        <v>219</v>
      </c>
      <c r="AF63" t="s">
        <v>44</v>
      </c>
      <c r="AG63" t="s">
        <v>45</v>
      </c>
      <c r="AI63" t="s">
        <v>53</v>
      </c>
    </row>
    <row r="64" spans="1:35" x14ac:dyDescent="0.35">
      <c r="A64">
        <v>20158702</v>
      </c>
      <c r="B64" s="2">
        <v>46054.380122245369</v>
      </c>
      <c r="C64" s="2">
        <v>46054.462592592594</v>
      </c>
      <c r="D64">
        <v>0</v>
      </c>
      <c r="E64" s="2">
        <v>46053.793888888889</v>
      </c>
      <c r="F64" t="s">
        <v>34</v>
      </c>
      <c r="G64" t="s">
        <v>47</v>
      </c>
      <c r="I64" t="s">
        <v>4</v>
      </c>
      <c r="J64" t="s">
        <v>37</v>
      </c>
      <c r="K64" t="s">
        <v>62</v>
      </c>
      <c r="L64">
        <v>72</v>
      </c>
      <c r="M64">
        <v>13110</v>
      </c>
      <c r="N64">
        <v>0</v>
      </c>
      <c r="O64">
        <v>0</v>
      </c>
      <c r="P64">
        <v>10</v>
      </c>
      <c r="Q64">
        <v>0</v>
      </c>
      <c r="R64">
        <v>0</v>
      </c>
      <c r="S64">
        <v>5</v>
      </c>
      <c r="T64">
        <v>0</v>
      </c>
      <c r="U64">
        <v>0</v>
      </c>
      <c r="V64">
        <v>0</v>
      </c>
      <c r="W64" t="s">
        <v>100</v>
      </c>
      <c r="AB64" t="s">
        <v>167</v>
      </c>
      <c r="AC64" t="s">
        <v>154</v>
      </c>
      <c r="AD64" t="s">
        <v>52</v>
      </c>
      <c r="AE64" t="s">
        <v>220</v>
      </c>
      <c r="AF64" t="s">
        <v>85</v>
      </c>
      <c r="AG64" t="s">
        <v>45</v>
      </c>
      <c r="AI64" t="s">
        <v>86</v>
      </c>
    </row>
    <row r="65" spans="1:35" x14ac:dyDescent="0.35">
      <c r="A65">
        <v>20157579</v>
      </c>
      <c r="B65" s="2">
        <v>46054.376219953701</v>
      </c>
      <c r="C65" s="2">
        <v>46054.460081018522</v>
      </c>
      <c r="D65">
        <v>10</v>
      </c>
      <c r="E65" s="2">
        <v>46054.203460648147</v>
      </c>
      <c r="F65" t="s">
        <v>34</v>
      </c>
      <c r="G65" t="s">
        <v>35</v>
      </c>
      <c r="I65" t="s">
        <v>4</v>
      </c>
      <c r="J65" t="s">
        <v>66</v>
      </c>
      <c r="K65" t="s">
        <v>38</v>
      </c>
      <c r="L65">
        <v>509</v>
      </c>
      <c r="M65">
        <v>1676</v>
      </c>
      <c r="N65">
        <v>10</v>
      </c>
      <c r="O65">
        <v>10</v>
      </c>
      <c r="P65">
        <v>10</v>
      </c>
      <c r="Q65">
        <v>10</v>
      </c>
      <c r="R65">
        <v>10</v>
      </c>
      <c r="S65">
        <v>10</v>
      </c>
      <c r="T65">
        <v>10</v>
      </c>
      <c r="U65">
        <v>10</v>
      </c>
      <c r="V65">
        <v>10</v>
      </c>
      <c r="W65" t="s">
        <v>49</v>
      </c>
      <c r="AB65" t="s">
        <v>143</v>
      </c>
      <c r="AC65" t="s">
        <v>144</v>
      </c>
      <c r="AD65" t="s">
        <v>52</v>
      </c>
      <c r="AE65" t="s">
        <v>220</v>
      </c>
      <c r="AF65" t="s">
        <v>44</v>
      </c>
      <c r="AG65" t="s">
        <v>45</v>
      </c>
      <c r="AI65" t="s">
        <v>168</v>
      </c>
    </row>
    <row r="66" spans="1:35" x14ac:dyDescent="0.35">
      <c r="A66">
        <v>20158249</v>
      </c>
      <c r="B66" s="2">
        <v>46054.378460057873</v>
      </c>
      <c r="C66" s="2">
        <v>46054.452245370368</v>
      </c>
      <c r="D66">
        <v>10</v>
      </c>
      <c r="E66" s="2">
        <v>46053.962962962964</v>
      </c>
      <c r="F66" t="s">
        <v>58</v>
      </c>
      <c r="G66" t="s">
        <v>35</v>
      </c>
      <c r="I66" t="s">
        <v>4</v>
      </c>
      <c r="J66" t="s">
        <v>110</v>
      </c>
      <c r="K66" t="s">
        <v>38</v>
      </c>
      <c r="L66">
        <v>772</v>
      </c>
      <c r="M66">
        <v>2264</v>
      </c>
      <c r="N66">
        <v>10</v>
      </c>
      <c r="O66">
        <v>10</v>
      </c>
      <c r="P66">
        <v>10</v>
      </c>
      <c r="Q66">
        <v>10</v>
      </c>
      <c r="R66">
        <v>10</v>
      </c>
      <c r="S66">
        <v>10</v>
      </c>
      <c r="T66">
        <v>10</v>
      </c>
      <c r="U66">
        <v>10</v>
      </c>
      <c r="V66">
        <v>10</v>
      </c>
      <c r="W66" t="s">
        <v>49</v>
      </c>
      <c r="AB66" t="s">
        <v>169</v>
      </c>
      <c r="AC66" t="s">
        <v>170</v>
      </c>
      <c r="AD66" t="s">
        <v>52</v>
      </c>
      <c r="AE66" t="s">
        <v>219</v>
      </c>
      <c r="AF66" t="s">
        <v>44</v>
      </c>
      <c r="AG66" t="s">
        <v>45</v>
      </c>
      <c r="AI66" t="s">
        <v>137</v>
      </c>
    </row>
    <row r="67" spans="1:35" x14ac:dyDescent="0.35">
      <c r="A67">
        <v>20135777</v>
      </c>
      <c r="B67" s="2">
        <v>46050.376475023149</v>
      </c>
      <c r="C67" s="2">
        <v>46054.450069444443</v>
      </c>
      <c r="D67">
        <v>8</v>
      </c>
      <c r="E67" s="2">
        <v>46049.937465277777</v>
      </c>
      <c r="F67" t="s">
        <v>34</v>
      </c>
      <c r="G67" t="s">
        <v>35</v>
      </c>
      <c r="I67" t="s">
        <v>48</v>
      </c>
      <c r="J67" t="s">
        <v>37</v>
      </c>
      <c r="K67" t="s">
        <v>62</v>
      </c>
      <c r="L67">
        <v>47</v>
      </c>
      <c r="M67">
        <v>61</v>
      </c>
      <c r="N67">
        <v>8</v>
      </c>
      <c r="O67">
        <v>8</v>
      </c>
      <c r="P67">
        <v>8</v>
      </c>
      <c r="Q67">
        <v>9</v>
      </c>
      <c r="R67">
        <v>8</v>
      </c>
      <c r="S67">
        <v>8</v>
      </c>
      <c r="T67">
        <v>9</v>
      </c>
      <c r="U67">
        <v>9</v>
      </c>
      <c r="V67">
        <v>9</v>
      </c>
      <c r="W67" t="s">
        <v>49</v>
      </c>
      <c r="AB67" t="s">
        <v>113</v>
      </c>
      <c r="AC67" t="s">
        <v>117</v>
      </c>
      <c r="AD67" t="s">
        <v>52</v>
      </c>
      <c r="AE67" t="s">
        <v>219</v>
      </c>
      <c r="AF67" t="s">
        <v>44</v>
      </c>
      <c r="AG67" t="s">
        <v>45</v>
      </c>
      <c r="AI67" t="s">
        <v>61</v>
      </c>
    </row>
    <row r="68" spans="1:35" x14ac:dyDescent="0.35">
      <c r="A68">
        <v>20159162</v>
      </c>
      <c r="B68" s="2">
        <v>46054.433510706018</v>
      </c>
      <c r="C68" s="2">
        <v>46054.433807870373</v>
      </c>
      <c r="D68">
        <v>10</v>
      </c>
      <c r="E68" s="2">
        <v>46054.766053240739</v>
      </c>
      <c r="F68" t="s">
        <v>34</v>
      </c>
      <c r="G68" t="s">
        <v>35</v>
      </c>
      <c r="I68" t="s">
        <v>95</v>
      </c>
      <c r="J68" t="s">
        <v>37</v>
      </c>
      <c r="K68" t="s">
        <v>38</v>
      </c>
      <c r="L68">
        <v>15</v>
      </c>
      <c r="M68">
        <v>15</v>
      </c>
      <c r="N68">
        <v>10</v>
      </c>
      <c r="O68">
        <v>10</v>
      </c>
      <c r="P68">
        <v>10</v>
      </c>
      <c r="Q68">
        <v>10</v>
      </c>
      <c r="R68">
        <v>10</v>
      </c>
      <c r="S68">
        <v>10</v>
      </c>
      <c r="T68">
        <v>10</v>
      </c>
      <c r="U68">
        <v>10</v>
      </c>
      <c r="V68">
        <v>10</v>
      </c>
      <c r="W68" t="s">
        <v>49</v>
      </c>
      <c r="AB68" t="s">
        <v>171</v>
      </c>
      <c r="AC68" t="s">
        <v>154</v>
      </c>
      <c r="AD68" t="s">
        <v>52</v>
      </c>
      <c r="AE68" t="s">
        <v>220</v>
      </c>
      <c r="AF68" t="s">
        <v>44</v>
      </c>
      <c r="AG68" t="s">
        <v>45</v>
      </c>
      <c r="AI68" t="s">
        <v>61</v>
      </c>
    </row>
    <row r="69" spans="1:35" x14ac:dyDescent="0.35">
      <c r="A69">
        <v>20158919</v>
      </c>
      <c r="B69" s="2">
        <v>46054.380901875003</v>
      </c>
      <c r="C69" s="2">
        <v>46054.433611111112</v>
      </c>
      <c r="D69">
        <v>10</v>
      </c>
      <c r="E69" s="2">
        <v>46053.758796296293</v>
      </c>
      <c r="F69" t="s">
        <v>34</v>
      </c>
      <c r="G69" t="s">
        <v>35</v>
      </c>
      <c r="I69" t="s">
        <v>4</v>
      </c>
      <c r="J69" t="s">
        <v>77</v>
      </c>
      <c r="K69" t="s">
        <v>38</v>
      </c>
      <c r="L69">
        <v>1006</v>
      </c>
      <c r="M69">
        <v>15541</v>
      </c>
      <c r="N69">
        <v>10</v>
      </c>
      <c r="O69">
        <v>10</v>
      </c>
      <c r="P69">
        <v>10</v>
      </c>
      <c r="Q69">
        <v>10</v>
      </c>
      <c r="R69">
        <v>10</v>
      </c>
      <c r="S69">
        <v>10</v>
      </c>
      <c r="T69">
        <v>10</v>
      </c>
      <c r="U69">
        <v>10</v>
      </c>
      <c r="V69">
        <v>10</v>
      </c>
      <c r="W69" t="s">
        <v>49</v>
      </c>
      <c r="AB69" t="s">
        <v>172</v>
      </c>
      <c r="AC69" t="s">
        <v>75</v>
      </c>
      <c r="AD69" t="s">
        <v>52</v>
      </c>
      <c r="AE69" t="s">
        <v>219</v>
      </c>
      <c r="AF69" t="s">
        <v>44</v>
      </c>
      <c r="AG69" t="s">
        <v>45</v>
      </c>
      <c r="AI69" t="s">
        <v>53</v>
      </c>
    </row>
    <row r="70" spans="1:35" x14ac:dyDescent="0.35">
      <c r="A70">
        <v>20136878</v>
      </c>
      <c r="B70" s="2">
        <v>46050.380230185183</v>
      </c>
      <c r="C70" s="2">
        <v>46054.429259259261</v>
      </c>
      <c r="D70">
        <v>3</v>
      </c>
      <c r="E70" s="2">
        <v>46050.293807870374</v>
      </c>
      <c r="F70" t="s">
        <v>34</v>
      </c>
      <c r="G70" t="s">
        <v>47</v>
      </c>
      <c r="I70" t="s">
        <v>48</v>
      </c>
      <c r="J70" t="s">
        <v>110</v>
      </c>
      <c r="K70" t="s">
        <v>38</v>
      </c>
      <c r="L70">
        <v>220</v>
      </c>
      <c r="M70">
        <v>17886</v>
      </c>
      <c r="N70">
        <v>3</v>
      </c>
      <c r="O70">
        <v>3</v>
      </c>
      <c r="P70">
        <v>5</v>
      </c>
      <c r="Q70">
        <v>3</v>
      </c>
      <c r="R70">
        <v>3</v>
      </c>
      <c r="S70">
        <v>2</v>
      </c>
      <c r="T70">
        <v>3</v>
      </c>
      <c r="U70">
        <v>2</v>
      </c>
      <c r="V70">
        <v>5</v>
      </c>
      <c r="W70" t="s">
        <v>100</v>
      </c>
      <c r="AB70" t="s">
        <v>173</v>
      </c>
      <c r="AC70" t="s">
        <v>174</v>
      </c>
      <c r="AD70" t="s">
        <v>52</v>
      </c>
      <c r="AE70" t="s">
        <v>220</v>
      </c>
      <c r="AF70" t="s">
        <v>85</v>
      </c>
      <c r="AG70" t="s">
        <v>45</v>
      </c>
      <c r="AI70" t="s">
        <v>86</v>
      </c>
    </row>
    <row r="71" spans="1:35" x14ac:dyDescent="0.35">
      <c r="A71">
        <v>20158389</v>
      </c>
      <c r="B71" s="2">
        <v>46054.378896562499</v>
      </c>
      <c r="C71" s="2">
        <v>46054.42664351852</v>
      </c>
      <c r="D71">
        <v>10</v>
      </c>
      <c r="E71" s="2">
        <v>46053.988194444442</v>
      </c>
      <c r="F71" t="s">
        <v>34</v>
      </c>
      <c r="G71" t="s">
        <v>35</v>
      </c>
      <c r="I71" t="s">
        <v>48</v>
      </c>
      <c r="J71" t="s">
        <v>77</v>
      </c>
      <c r="K71" t="s">
        <v>62</v>
      </c>
      <c r="L71">
        <v>21</v>
      </c>
      <c r="M71">
        <v>75</v>
      </c>
      <c r="N71">
        <v>10</v>
      </c>
      <c r="O71">
        <v>10</v>
      </c>
      <c r="P71">
        <v>10</v>
      </c>
      <c r="Q71">
        <v>10</v>
      </c>
      <c r="R71">
        <v>10</v>
      </c>
      <c r="S71">
        <v>10</v>
      </c>
      <c r="T71">
        <v>10</v>
      </c>
      <c r="U71">
        <v>10</v>
      </c>
      <c r="V71">
        <v>10</v>
      </c>
      <c r="W71" t="s">
        <v>49</v>
      </c>
      <c r="AB71" t="s">
        <v>169</v>
      </c>
      <c r="AC71" t="s">
        <v>170</v>
      </c>
      <c r="AD71" t="s">
        <v>52</v>
      </c>
      <c r="AE71" t="s">
        <v>219</v>
      </c>
      <c r="AF71" t="s">
        <v>44</v>
      </c>
      <c r="AG71" t="s">
        <v>45</v>
      </c>
      <c r="AI71" t="s">
        <v>53</v>
      </c>
    </row>
    <row r="72" spans="1:35" x14ac:dyDescent="0.35">
      <c r="A72">
        <v>20158487</v>
      </c>
      <c r="B72" s="2">
        <v>46054.379278865737</v>
      </c>
      <c r="C72" s="2">
        <v>46054.412870370368</v>
      </c>
      <c r="D72">
        <v>0</v>
      </c>
      <c r="E72" s="2">
        <v>46054.54347222222</v>
      </c>
      <c r="F72" t="s">
        <v>58</v>
      </c>
      <c r="G72" t="s">
        <v>35</v>
      </c>
      <c r="I72" t="s">
        <v>4</v>
      </c>
      <c r="J72" t="s">
        <v>119</v>
      </c>
      <c r="K72" t="s">
        <v>38</v>
      </c>
      <c r="L72">
        <v>545</v>
      </c>
      <c r="M72">
        <v>14108</v>
      </c>
      <c r="N72">
        <v>0</v>
      </c>
      <c r="O72">
        <v>0</v>
      </c>
      <c r="P72">
        <v>1</v>
      </c>
      <c r="Q72">
        <v>0</v>
      </c>
      <c r="R72">
        <v>0</v>
      </c>
      <c r="S72">
        <v>0</v>
      </c>
      <c r="T72">
        <v>0</v>
      </c>
      <c r="U72">
        <v>0</v>
      </c>
      <c r="V72">
        <v>0</v>
      </c>
      <c r="W72" t="s">
        <v>100</v>
      </c>
      <c r="AB72" t="s">
        <v>175</v>
      </c>
      <c r="AC72" t="s">
        <v>176</v>
      </c>
      <c r="AD72" t="s">
        <v>43</v>
      </c>
      <c r="AE72" t="s">
        <v>219</v>
      </c>
      <c r="AF72" t="s">
        <v>85</v>
      </c>
      <c r="AG72" t="s">
        <v>45</v>
      </c>
      <c r="AI72" t="s">
        <v>86</v>
      </c>
    </row>
    <row r="73" spans="1:35" x14ac:dyDescent="0.35">
      <c r="A73">
        <v>20158464</v>
      </c>
      <c r="B73" s="2">
        <v>46054.379205509256</v>
      </c>
      <c r="C73" s="2">
        <v>46054.411192129628</v>
      </c>
      <c r="D73">
        <v>1</v>
      </c>
      <c r="E73" s="2">
        <v>46054.544386574074</v>
      </c>
      <c r="F73" t="s">
        <v>34</v>
      </c>
      <c r="G73" t="s">
        <v>35</v>
      </c>
      <c r="I73" t="s">
        <v>4</v>
      </c>
      <c r="J73" t="s">
        <v>69</v>
      </c>
      <c r="K73" t="s">
        <v>38</v>
      </c>
      <c r="L73">
        <v>408</v>
      </c>
      <c r="M73">
        <v>14743</v>
      </c>
      <c r="N73">
        <v>1</v>
      </c>
      <c r="O73">
        <v>1</v>
      </c>
      <c r="P73">
        <v>1</v>
      </c>
      <c r="Q73">
        <v>1</v>
      </c>
      <c r="R73">
        <v>1</v>
      </c>
      <c r="S73">
        <v>1</v>
      </c>
      <c r="T73">
        <v>1</v>
      </c>
      <c r="U73">
        <v>1</v>
      </c>
      <c r="V73">
        <v>1</v>
      </c>
      <c r="W73" t="s">
        <v>100</v>
      </c>
      <c r="AB73" t="s">
        <v>177</v>
      </c>
      <c r="AC73" t="s">
        <v>178</v>
      </c>
      <c r="AD73" t="s">
        <v>52</v>
      </c>
      <c r="AE73" t="s">
        <v>219</v>
      </c>
      <c r="AF73" t="s">
        <v>44</v>
      </c>
      <c r="AG73" t="s">
        <v>45</v>
      </c>
      <c r="AI73" t="s">
        <v>73</v>
      </c>
    </row>
    <row r="74" spans="1:35" x14ac:dyDescent="0.35">
      <c r="A74">
        <v>20157735</v>
      </c>
      <c r="B74" s="2">
        <v>46054.376763703702</v>
      </c>
      <c r="C74" s="2">
        <v>46054.409386574072</v>
      </c>
      <c r="D74">
        <v>10</v>
      </c>
      <c r="E74" s="2">
        <v>46054.64634259259</v>
      </c>
      <c r="F74" t="s">
        <v>34</v>
      </c>
      <c r="G74" t="s">
        <v>35</v>
      </c>
      <c r="I74" t="s">
        <v>48</v>
      </c>
      <c r="J74" t="s">
        <v>71</v>
      </c>
      <c r="K74" t="s">
        <v>62</v>
      </c>
      <c r="L74">
        <v>20</v>
      </c>
      <c r="M74">
        <v>75</v>
      </c>
      <c r="N74">
        <v>10</v>
      </c>
      <c r="O74">
        <v>10</v>
      </c>
      <c r="P74">
        <v>10</v>
      </c>
      <c r="Q74">
        <v>10</v>
      </c>
      <c r="R74">
        <v>10</v>
      </c>
      <c r="S74">
        <v>10</v>
      </c>
      <c r="T74">
        <v>10</v>
      </c>
      <c r="U74">
        <v>10</v>
      </c>
      <c r="V74">
        <v>10</v>
      </c>
      <c r="W74" t="s">
        <v>49</v>
      </c>
      <c r="AB74" t="s">
        <v>179</v>
      </c>
      <c r="AC74" t="s">
        <v>180</v>
      </c>
      <c r="AD74" t="s">
        <v>52</v>
      </c>
      <c r="AE74" t="s">
        <v>220</v>
      </c>
      <c r="AF74" t="s">
        <v>44</v>
      </c>
      <c r="AG74" t="s">
        <v>45</v>
      </c>
      <c r="AI74" t="s">
        <v>126</v>
      </c>
    </row>
    <row r="75" spans="1:35" x14ac:dyDescent="0.35">
      <c r="A75">
        <v>20158682</v>
      </c>
      <c r="B75" s="2">
        <v>46054.380062256947</v>
      </c>
      <c r="C75" s="2">
        <v>46054.401990740742</v>
      </c>
      <c r="D75">
        <v>3</v>
      </c>
      <c r="E75" s="2">
        <v>46054.502291666664</v>
      </c>
      <c r="F75" t="s">
        <v>34</v>
      </c>
      <c r="G75" t="s">
        <v>35</v>
      </c>
      <c r="I75" t="s">
        <v>48</v>
      </c>
      <c r="J75" t="s">
        <v>66</v>
      </c>
      <c r="K75" t="s">
        <v>38</v>
      </c>
      <c r="L75">
        <v>90</v>
      </c>
      <c r="M75">
        <v>13804</v>
      </c>
      <c r="N75">
        <v>0</v>
      </c>
      <c r="O75">
        <v>3</v>
      </c>
      <c r="P75">
        <v>7</v>
      </c>
      <c r="Q75" t="s">
        <v>39</v>
      </c>
      <c r="R75">
        <v>7</v>
      </c>
      <c r="S75">
        <v>3</v>
      </c>
      <c r="T75">
        <v>7</v>
      </c>
      <c r="U75">
        <v>0</v>
      </c>
      <c r="V75">
        <v>0</v>
      </c>
      <c r="W75" t="s">
        <v>100</v>
      </c>
      <c r="AB75" t="s">
        <v>181</v>
      </c>
      <c r="AC75" t="s">
        <v>182</v>
      </c>
      <c r="AD75" t="s">
        <v>52</v>
      </c>
      <c r="AE75" t="s">
        <v>220</v>
      </c>
      <c r="AF75" t="s">
        <v>85</v>
      </c>
      <c r="AG75" t="s">
        <v>45</v>
      </c>
      <c r="AI75" t="s">
        <v>86</v>
      </c>
    </row>
    <row r="76" spans="1:35" x14ac:dyDescent="0.35">
      <c r="A76">
        <v>20157495</v>
      </c>
      <c r="B76" s="2">
        <v>46054.375919652775</v>
      </c>
      <c r="C76" s="2">
        <v>46054.398993055554</v>
      </c>
      <c r="D76">
        <v>10</v>
      </c>
      <c r="E76" s="2">
        <v>46054.675115740742</v>
      </c>
      <c r="F76" t="s">
        <v>34</v>
      </c>
      <c r="G76" t="s">
        <v>35</v>
      </c>
      <c r="I76" t="s">
        <v>4</v>
      </c>
      <c r="J76" t="s">
        <v>37</v>
      </c>
      <c r="K76" t="s">
        <v>38</v>
      </c>
      <c r="L76">
        <v>483</v>
      </c>
      <c r="M76">
        <v>1419</v>
      </c>
      <c r="N76">
        <v>10</v>
      </c>
      <c r="O76">
        <v>10</v>
      </c>
      <c r="P76">
        <v>10</v>
      </c>
      <c r="Q76">
        <v>10</v>
      </c>
      <c r="R76">
        <v>10</v>
      </c>
      <c r="S76">
        <v>10</v>
      </c>
      <c r="T76">
        <v>10</v>
      </c>
      <c r="U76">
        <v>10</v>
      </c>
      <c r="V76">
        <v>10</v>
      </c>
      <c r="W76" t="s">
        <v>49</v>
      </c>
      <c r="AB76" t="s">
        <v>183</v>
      </c>
      <c r="AC76" t="s">
        <v>68</v>
      </c>
      <c r="AD76" t="s">
        <v>52</v>
      </c>
      <c r="AE76" t="s">
        <v>219</v>
      </c>
      <c r="AF76" t="s">
        <v>44</v>
      </c>
      <c r="AG76" t="s">
        <v>45</v>
      </c>
      <c r="AI76" t="s">
        <v>126</v>
      </c>
    </row>
    <row r="77" spans="1:35" x14ac:dyDescent="0.35">
      <c r="A77">
        <v>20158956</v>
      </c>
      <c r="B77" s="2">
        <v>46054.390437708331</v>
      </c>
      <c r="C77" s="2">
        <v>46054.390810185185</v>
      </c>
      <c r="D77">
        <v>10</v>
      </c>
      <c r="E77" s="2">
        <v>46054.723217592589</v>
      </c>
      <c r="F77" t="s">
        <v>34</v>
      </c>
      <c r="G77" t="s">
        <v>35</v>
      </c>
      <c r="I77" t="s">
        <v>95</v>
      </c>
      <c r="J77" t="s">
        <v>69</v>
      </c>
      <c r="K77" t="s">
        <v>38</v>
      </c>
      <c r="L77">
        <v>6</v>
      </c>
      <c r="M77">
        <v>6</v>
      </c>
      <c r="N77">
        <v>10</v>
      </c>
      <c r="O77">
        <v>10</v>
      </c>
      <c r="P77">
        <v>10</v>
      </c>
      <c r="Q77">
        <v>10</v>
      </c>
      <c r="R77">
        <v>10</v>
      </c>
      <c r="S77">
        <v>10</v>
      </c>
      <c r="T77">
        <v>10</v>
      </c>
      <c r="U77">
        <v>10</v>
      </c>
      <c r="V77">
        <v>10</v>
      </c>
      <c r="W77" t="s">
        <v>49</v>
      </c>
      <c r="AB77" t="s">
        <v>171</v>
      </c>
      <c r="AC77" t="s">
        <v>154</v>
      </c>
      <c r="AD77" t="s">
        <v>52</v>
      </c>
      <c r="AE77" t="s">
        <v>220</v>
      </c>
      <c r="AF77" t="s">
        <v>44</v>
      </c>
      <c r="AG77" t="s">
        <v>45</v>
      </c>
      <c r="AI77" t="s">
        <v>65</v>
      </c>
    </row>
    <row r="78" spans="1:35" x14ac:dyDescent="0.35">
      <c r="A78">
        <v>20158170</v>
      </c>
      <c r="B78" s="2">
        <v>46054.378182349537</v>
      </c>
      <c r="C78" s="2">
        <v>46054.388472222221</v>
      </c>
      <c r="D78">
        <v>8</v>
      </c>
      <c r="E78" s="2">
        <v>46054.087291666663</v>
      </c>
      <c r="F78" t="s">
        <v>34</v>
      </c>
      <c r="G78" t="s">
        <v>35</v>
      </c>
      <c r="I78" t="s">
        <v>48</v>
      </c>
      <c r="J78" t="s">
        <v>110</v>
      </c>
      <c r="K78" t="s">
        <v>62</v>
      </c>
      <c r="L78">
        <v>23</v>
      </c>
      <c r="M78">
        <v>65</v>
      </c>
      <c r="N78">
        <v>8</v>
      </c>
      <c r="O78">
        <v>7</v>
      </c>
      <c r="P78">
        <v>9</v>
      </c>
      <c r="Q78">
        <v>8</v>
      </c>
      <c r="R78">
        <v>8</v>
      </c>
      <c r="S78">
        <v>8</v>
      </c>
      <c r="T78">
        <v>8</v>
      </c>
      <c r="U78">
        <v>7</v>
      </c>
      <c r="V78">
        <v>5</v>
      </c>
      <c r="W78" t="s">
        <v>40</v>
      </c>
      <c r="AB78" t="s">
        <v>89</v>
      </c>
      <c r="AC78" t="s">
        <v>90</v>
      </c>
      <c r="AD78" t="s">
        <v>52</v>
      </c>
      <c r="AE78" t="s">
        <v>220</v>
      </c>
      <c r="AF78" t="s">
        <v>44</v>
      </c>
      <c r="AG78" t="s">
        <v>45</v>
      </c>
      <c r="AI78" t="s">
        <v>73</v>
      </c>
    </row>
    <row r="79" spans="1:35" x14ac:dyDescent="0.35">
      <c r="A79">
        <v>20158193</v>
      </c>
      <c r="B79" s="2">
        <v>46054.378268726854</v>
      </c>
      <c r="C79" s="2">
        <v>46054.387418981481</v>
      </c>
      <c r="D79">
        <v>10</v>
      </c>
      <c r="E79" s="2">
        <v>46054.281064814815</v>
      </c>
      <c r="F79" t="s">
        <v>34</v>
      </c>
      <c r="G79" t="s">
        <v>35</v>
      </c>
      <c r="I79" t="s">
        <v>48</v>
      </c>
      <c r="J79" t="s">
        <v>69</v>
      </c>
      <c r="K79" t="s">
        <v>38</v>
      </c>
      <c r="L79">
        <v>439</v>
      </c>
      <c r="M79">
        <v>6434</v>
      </c>
      <c r="N79">
        <v>10</v>
      </c>
      <c r="O79">
        <v>10</v>
      </c>
      <c r="P79">
        <v>10</v>
      </c>
      <c r="Q79">
        <v>10</v>
      </c>
      <c r="R79">
        <v>10</v>
      </c>
      <c r="S79">
        <v>10</v>
      </c>
      <c r="T79">
        <v>10</v>
      </c>
      <c r="U79">
        <v>10</v>
      </c>
      <c r="V79">
        <v>10</v>
      </c>
      <c r="W79" t="s">
        <v>49</v>
      </c>
      <c r="AB79" t="s">
        <v>184</v>
      </c>
      <c r="AC79" t="s">
        <v>130</v>
      </c>
      <c r="AD79" t="s">
        <v>52</v>
      </c>
      <c r="AE79" t="s">
        <v>220</v>
      </c>
      <c r="AF79" t="s">
        <v>44</v>
      </c>
      <c r="AG79" t="s">
        <v>45</v>
      </c>
      <c r="AI79" t="s">
        <v>126</v>
      </c>
    </row>
    <row r="80" spans="1:35" x14ac:dyDescent="0.35">
      <c r="A80">
        <v>20136971</v>
      </c>
      <c r="B80" s="2">
        <v>46050.380570810186</v>
      </c>
      <c r="C80" s="2">
        <v>46054.384733796294</v>
      </c>
      <c r="D80">
        <v>9</v>
      </c>
      <c r="E80" s="2">
        <v>46049.793391203704</v>
      </c>
      <c r="F80" t="s">
        <v>34</v>
      </c>
      <c r="G80" t="s">
        <v>35</v>
      </c>
      <c r="I80" t="s">
        <v>36</v>
      </c>
      <c r="J80" t="s">
        <v>37</v>
      </c>
      <c r="K80" t="s">
        <v>38</v>
      </c>
      <c r="L80">
        <v>1</v>
      </c>
      <c r="M80">
        <v>28756</v>
      </c>
      <c r="N80">
        <v>9</v>
      </c>
      <c r="O80">
        <v>9</v>
      </c>
      <c r="P80">
        <v>9</v>
      </c>
      <c r="Q80">
        <v>9</v>
      </c>
      <c r="R80">
        <v>9</v>
      </c>
      <c r="S80">
        <v>9</v>
      </c>
      <c r="T80">
        <v>9</v>
      </c>
      <c r="U80">
        <v>9</v>
      </c>
      <c r="V80">
        <v>8</v>
      </c>
      <c r="W80" t="s">
        <v>49</v>
      </c>
      <c r="AB80" t="s">
        <v>185</v>
      </c>
      <c r="AC80" t="s">
        <v>186</v>
      </c>
      <c r="AD80" t="s">
        <v>43</v>
      </c>
      <c r="AE80" t="s">
        <v>219</v>
      </c>
      <c r="AF80" t="s">
        <v>44</v>
      </c>
      <c r="AG80" t="s">
        <v>45</v>
      </c>
      <c r="AI80" t="s">
        <v>46</v>
      </c>
    </row>
    <row r="81" spans="1:35" x14ac:dyDescent="0.35">
      <c r="A81">
        <v>20136849</v>
      </c>
      <c r="B81" s="2">
        <v>46050.38013902778</v>
      </c>
      <c r="C81" s="2">
        <v>46054.383472222224</v>
      </c>
      <c r="D81">
        <v>8</v>
      </c>
      <c r="E81" s="2">
        <v>46050.001770833333</v>
      </c>
      <c r="F81" t="s">
        <v>34</v>
      </c>
      <c r="G81" t="s">
        <v>35</v>
      </c>
      <c r="I81" t="s">
        <v>4</v>
      </c>
      <c r="J81" t="s">
        <v>78</v>
      </c>
      <c r="K81" t="s">
        <v>38</v>
      </c>
      <c r="L81">
        <v>144</v>
      </c>
      <c r="M81">
        <v>13416</v>
      </c>
      <c r="N81">
        <v>8</v>
      </c>
      <c r="O81">
        <v>9</v>
      </c>
      <c r="P81">
        <v>9</v>
      </c>
      <c r="Q81">
        <v>9</v>
      </c>
      <c r="R81">
        <v>9</v>
      </c>
      <c r="S81">
        <v>9</v>
      </c>
      <c r="T81">
        <v>9</v>
      </c>
      <c r="U81">
        <v>9</v>
      </c>
      <c r="V81">
        <v>9</v>
      </c>
      <c r="W81" t="s">
        <v>49</v>
      </c>
      <c r="AB81" t="s">
        <v>187</v>
      </c>
      <c r="AC81" t="s">
        <v>174</v>
      </c>
      <c r="AD81" t="s">
        <v>52</v>
      </c>
      <c r="AE81" t="s">
        <v>220</v>
      </c>
      <c r="AF81" t="s">
        <v>85</v>
      </c>
      <c r="AG81" t="s">
        <v>45</v>
      </c>
      <c r="AI81" t="s">
        <v>86</v>
      </c>
    </row>
    <row r="82" spans="1:35" x14ac:dyDescent="0.35">
      <c r="A82">
        <v>20136683</v>
      </c>
      <c r="B82" s="2">
        <v>46050.37946625</v>
      </c>
      <c r="C82" s="2">
        <v>46054.383321759262</v>
      </c>
      <c r="D82">
        <v>10</v>
      </c>
      <c r="E82" s="2">
        <v>46050.370162037034</v>
      </c>
      <c r="F82" t="s">
        <v>34</v>
      </c>
      <c r="G82" t="s">
        <v>35</v>
      </c>
      <c r="I82" t="s">
        <v>48</v>
      </c>
      <c r="J82" t="s">
        <v>37</v>
      </c>
      <c r="K82" t="s">
        <v>38</v>
      </c>
      <c r="L82">
        <v>880</v>
      </c>
      <c r="M82">
        <v>19597</v>
      </c>
      <c r="N82">
        <v>10</v>
      </c>
      <c r="O82">
        <v>10</v>
      </c>
      <c r="P82">
        <v>10</v>
      </c>
      <c r="Q82">
        <v>10</v>
      </c>
      <c r="R82">
        <v>10</v>
      </c>
      <c r="S82">
        <v>10</v>
      </c>
      <c r="T82">
        <v>10</v>
      </c>
      <c r="U82">
        <v>10</v>
      </c>
      <c r="V82">
        <v>10</v>
      </c>
      <c r="W82" t="s">
        <v>49</v>
      </c>
      <c r="AB82" t="s">
        <v>188</v>
      </c>
      <c r="AC82" t="s">
        <v>109</v>
      </c>
      <c r="AD82" t="s">
        <v>136</v>
      </c>
      <c r="AE82" t="s">
        <v>219</v>
      </c>
      <c r="AF82" t="s">
        <v>44</v>
      </c>
      <c r="AG82" t="s">
        <v>45</v>
      </c>
      <c r="AI82" t="s">
        <v>73</v>
      </c>
    </row>
    <row r="83" spans="1:35" x14ac:dyDescent="0.35">
      <c r="A83">
        <v>20158161</v>
      </c>
      <c r="B83" s="2">
        <v>46054.37814912037</v>
      </c>
      <c r="C83" s="2">
        <v>46054.383043981485</v>
      </c>
      <c r="D83">
        <v>10</v>
      </c>
      <c r="E83" s="2">
        <v>46053.793553240743</v>
      </c>
      <c r="F83" t="s">
        <v>34</v>
      </c>
      <c r="G83" t="s">
        <v>35</v>
      </c>
      <c r="I83" t="s">
        <v>48</v>
      </c>
      <c r="J83" t="s">
        <v>37</v>
      </c>
      <c r="K83" t="s">
        <v>62</v>
      </c>
      <c r="L83">
        <v>11</v>
      </c>
      <c r="M83">
        <v>38</v>
      </c>
      <c r="N83">
        <v>10</v>
      </c>
      <c r="O83">
        <v>10</v>
      </c>
      <c r="P83">
        <v>10</v>
      </c>
      <c r="Q83">
        <v>10</v>
      </c>
      <c r="R83">
        <v>10</v>
      </c>
      <c r="S83">
        <v>10</v>
      </c>
      <c r="T83">
        <v>10</v>
      </c>
      <c r="U83">
        <v>10</v>
      </c>
      <c r="V83">
        <v>10</v>
      </c>
      <c r="W83" t="s">
        <v>49</v>
      </c>
      <c r="AB83" t="s">
        <v>189</v>
      </c>
      <c r="AC83" t="s">
        <v>130</v>
      </c>
      <c r="AD83" t="s">
        <v>52</v>
      </c>
      <c r="AE83" t="s">
        <v>220</v>
      </c>
      <c r="AF83" t="s">
        <v>44</v>
      </c>
      <c r="AG83" t="s">
        <v>45</v>
      </c>
      <c r="AI83" t="s">
        <v>61</v>
      </c>
    </row>
    <row r="84" spans="1:35" x14ac:dyDescent="0.35">
      <c r="A84">
        <v>20158777</v>
      </c>
      <c r="B84" s="2">
        <v>46054.380380277777</v>
      </c>
      <c r="C84" s="2">
        <v>46054.381828703707</v>
      </c>
      <c r="D84">
        <v>10</v>
      </c>
      <c r="E84" s="2">
        <v>46054.712673611109</v>
      </c>
      <c r="F84" t="s">
        <v>34</v>
      </c>
      <c r="G84" t="s">
        <v>35</v>
      </c>
      <c r="I84" t="s">
        <v>95</v>
      </c>
      <c r="J84" t="s">
        <v>71</v>
      </c>
      <c r="K84" t="s">
        <v>38</v>
      </c>
      <c r="L84">
        <v>54</v>
      </c>
      <c r="M84">
        <v>1455</v>
      </c>
      <c r="N84">
        <v>9</v>
      </c>
      <c r="O84">
        <v>10</v>
      </c>
      <c r="P84">
        <v>9</v>
      </c>
      <c r="Q84">
        <v>10</v>
      </c>
      <c r="R84">
        <v>9</v>
      </c>
      <c r="S84">
        <v>8</v>
      </c>
      <c r="T84">
        <v>9</v>
      </c>
      <c r="U84">
        <v>9</v>
      </c>
      <c r="V84">
        <v>9</v>
      </c>
      <c r="W84" t="s">
        <v>49</v>
      </c>
      <c r="AB84" t="s">
        <v>190</v>
      </c>
      <c r="AC84" t="s">
        <v>191</v>
      </c>
      <c r="AD84" t="s">
        <v>52</v>
      </c>
      <c r="AE84" t="s">
        <v>220</v>
      </c>
      <c r="AF84" t="s">
        <v>44</v>
      </c>
      <c r="AG84" t="s">
        <v>45</v>
      </c>
      <c r="AI84" t="s">
        <v>126</v>
      </c>
    </row>
    <row r="85" spans="1:35" x14ac:dyDescent="0.35">
      <c r="A85">
        <v>20157798</v>
      </c>
      <c r="B85" s="2">
        <v>46054.376982986112</v>
      </c>
      <c r="C85" s="2">
        <v>46054.379108796296</v>
      </c>
      <c r="D85">
        <v>10</v>
      </c>
      <c r="E85" s="2">
        <v>46054.639722222222</v>
      </c>
      <c r="F85" t="s">
        <v>34</v>
      </c>
      <c r="G85" t="s">
        <v>35</v>
      </c>
      <c r="I85" t="s">
        <v>4</v>
      </c>
      <c r="J85" t="s">
        <v>69</v>
      </c>
      <c r="K85" t="s">
        <v>38</v>
      </c>
      <c r="L85">
        <v>45</v>
      </c>
      <c r="M85">
        <v>359</v>
      </c>
      <c r="N85">
        <v>10</v>
      </c>
      <c r="O85">
        <v>10</v>
      </c>
      <c r="P85">
        <v>10</v>
      </c>
      <c r="Q85">
        <v>10</v>
      </c>
      <c r="R85">
        <v>10</v>
      </c>
      <c r="S85">
        <v>10</v>
      </c>
      <c r="T85">
        <v>10</v>
      </c>
      <c r="U85">
        <v>10</v>
      </c>
      <c r="V85">
        <v>10</v>
      </c>
      <c r="AB85" t="s">
        <v>129</v>
      </c>
      <c r="AC85" t="s">
        <v>130</v>
      </c>
      <c r="AD85" t="s">
        <v>52</v>
      </c>
      <c r="AE85" t="s">
        <v>220</v>
      </c>
      <c r="AF85" t="s">
        <v>44</v>
      </c>
      <c r="AG85" t="s">
        <v>45</v>
      </c>
      <c r="AI85" t="s">
        <v>65</v>
      </c>
    </row>
    <row r="86" spans="1:35" x14ac:dyDescent="0.35">
      <c r="A86">
        <v>20157931</v>
      </c>
      <c r="B86" s="2">
        <v>46054.377424618055</v>
      </c>
      <c r="C86" s="2">
        <v>46054.378738425927</v>
      </c>
      <c r="D86">
        <v>10</v>
      </c>
      <c r="E86" s="2">
        <v>46054.550555555557</v>
      </c>
      <c r="F86" t="s">
        <v>58</v>
      </c>
      <c r="G86" t="s">
        <v>35</v>
      </c>
      <c r="I86" t="s">
        <v>48</v>
      </c>
      <c r="J86" t="s">
        <v>69</v>
      </c>
      <c r="K86" t="s">
        <v>62</v>
      </c>
      <c r="L86">
        <v>11</v>
      </c>
      <c r="M86">
        <v>29</v>
      </c>
      <c r="N86">
        <v>10</v>
      </c>
      <c r="O86">
        <v>10</v>
      </c>
      <c r="P86">
        <v>10</v>
      </c>
      <c r="Q86">
        <v>10</v>
      </c>
      <c r="R86">
        <v>10</v>
      </c>
      <c r="S86">
        <v>10</v>
      </c>
      <c r="T86">
        <v>10</v>
      </c>
      <c r="U86">
        <v>10</v>
      </c>
      <c r="V86">
        <v>10</v>
      </c>
      <c r="W86" t="s">
        <v>49</v>
      </c>
      <c r="AB86" t="s">
        <v>179</v>
      </c>
      <c r="AC86" t="s">
        <v>180</v>
      </c>
      <c r="AD86" t="s">
        <v>52</v>
      </c>
      <c r="AE86" t="s">
        <v>220</v>
      </c>
      <c r="AF86" t="s">
        <v>44</v>
      </c>
      <c r="AG86" t="s">
        <v>45</v>
      </c>
      <c r="AI86" t="s">
        <v>61</v>
      </c>
    </row>
    <row r="87" spans="1:35" x14ac:dyDescent="0.35">
      <c r="A87">
        <v>20135745</v>
      </c>
      <c r="B87" s="2">
        <v>46050.376380254631</v>
      </c>
      <c r="C87" s="2">
        <v>46054.378738425927</v>
      </c>
      <c r="D87">
        <v>9</v>
      </c>
      <c r="E87" s="2">
        <v>46050.700266203705</v>
      </c>
      <c r="F87" t="s">
        <v>58</v>
      </c>
      <c r="G87" t="s">
        <v>35</v>
      </c>
      <c r="I87" t="s">
        <v>48</v>
      </c>
      <c r="J87" t="s">
        <v>119</v>
      </c>
      <c r="K87" t="s">
        <v>38</v>
      </c>
      <c r="L87">
        <v>57</v>
      </c>
      <c r="M87">
        <v>910</v>
      </c>
      <c r="N87">
        <v>9</v>
      </c>
      <c r="O87">
        <v>9</v>
      </c>
      <c r="P87">
        <v>9</v>
      </c>
      <c r="Q87">
        <v>9</v>
      </c>
      <c r="R87">
        <v>9</v>
      </c>
      <c r="S87">
        <v>9</v>
      </c>
      <c r="T87">
        <v>9</v>
      </c>
      <c r="U87">
        <v>9</v>
      </c>
      <c r="V87">
        <v>7</v>
      </c>
      <c r="W87" t="s">
        <v>49</v>
      </c>
      <c r="AB87" t="s">
        <v>179</v>
      </c>
      <c r="AC87" t="s">
        <v>180</v>
      </c>
      <c r="AD87" t="s">
        <v>52</v>
      </c>
      <c r="AE87" t="s">
        <v>220</v>
      </c>
      <c r="AF87" t="s">
        <v>44</v>
      </c>
      <c r="AG87" t="s">
        <v>45</v>
      </c>
      <c r="AI87" t="s">
        <v>61</v>
      </c>
    </row>
    <row r="88" spans="1:35" x14ac:dyDescent="0.35">
      <c r="A88">
        <v>20135927</v>
      </c>
      <c r="B88" s="2">
        <v>46050.376992233796</v>
      </c>
      <c r="C88" s="2">
        <v>46054.378692129627</v>
      </c>
      <c r="D88">
        <v>1</v>
      </c>
      <c r="E88" s="2">
        <v>46050.596921296295</v>
      </c>
      <c r="F88" t="s">
        <v>54</v>
      </c>
      <c r="G88" t="s">
        <v>35</v>
      </c>
      <c r="I88" t="s">
        <v>4</v>
      </c>
      <c r="J88" t="s">
        <v>55</v>
      </c>
      <c r="K88" t="s">
        <v>38</v>
      </c>
      <c r="L88">
        <v>121</v>
      </c>
      <c r="M88">
        <v>1190</v>
      </c>
      <c r="N88">
        <v>10</v>
      </c>
      <c r="O88">
        <v>9</v>
      </c>
      <c r="P88">
        <v>9</v>
      </c>
      <c r="Q88">
        <v>8</v>
      </c>
      <c r="R88">
        <v>9</v>
      </c>
      <c r="S88">
        <v>9</v>
      </c>
      <c r="T88">
        <v>9</v>
      </c>
      <c r="U88">
        <v>9</v>
      </c>
      <c r="V88">
        <v>10</v>
      </c>
      <c r="W88" t="s">
        <v>49</v>
      </c>
      <c r="AB88" t="s">
        <v>192</v>
      </c>
      <c r="AC88" t="s">
        <v>147</v>
      </c>
      <c r="AD88" t="s">
        <v>52</v>
      </c>
      <c r="AE88" t="s">
        <v>219</v>
      </c>
      <c r="AF88" t="s">
        <v>44</v>
      </c>
      <c r="AG88" t="s">
        <v>45</v>
      </c>
      <c r="AI88" t="s">
        <v>53</v>
      </c>
    </row>
    <row r="89" spans="1:35" x14ac:dyDescent="0.35">
      <c r="A89">
        <v>20135420</v>
      </c>
      <c r="B89" s="2">
        <v>46050.375361238424</v>
      </c>
      <c r="C89" s="2">
        <v>46054.378506944442</v>
      </c>
      <c r="D89">
        <v>8</v>
      </c>
      <c r="E89" s="2">
        <v>46049.713692129626</v>
      </c>
      <c r="F89" t="s">
        <v>58</v>
      </c>
      <c r="G89" t="s">
        <v>35</v>
      </c>
      <c r="I89" t="s">
        <v>4</v>
      </c>
      <c r="J89" t="s">
        <v>69</v>
      </c>
      <c r="K89" t="s">
        <v>38</v>
      </c>
      <c r="L89">
        <v>1875</v>
      </c>
      <c r="M89">
        <v>52721</v>
      </c>
      <c r="N89">
        <v>9</v>
      </c>
      <c r="O89">
        <v>10</v>
      </c>
      <c r="P89">
        <v>10</v>
      </c>
      <c r="Q89">
        <v>6</v>
      </c>
      <c r="R89">
        <v>10</v>
      </c>
      <c r="S89">
        <v>10</v>
      </c>
      <c r="T89">
        <v>10</v>
      </c>
      <c r="U89">
        <v>10</v>
      </c>
      <c r="V89">
        <v>2</v>
      </c>
      <c r="W89" t="s">
        <v>49</v>
      </c>
      <c r="AB89" t="s">
        <v>193</v>
      </c>
      <c r="AC89" t="s">
        <v>72</v>
      </c>
      <c r="AD89" t="s">
        <v>52</v>
      </c>
      <c r="AE89" t="s">
        <v>219</v>
      </c>
      <c r="AF89" t="s">
        <v>44</v>
      </c>
      <c r="AG89" t="s">
        <v>45</v>
      </c>
      <c r="AI89" t="s">
        <v>61</v>
      </c>
    </row>
    <row r="90" spans="1:35" x14ac:dyDescent="0.35">
      <c r="A90">
        <v>20135561</v>
      </c>
      <c r="B90" s="2">
        <v>46050.375802060182</v>
      </c>
      <c r="C90" s="2">
        <v>46054.377256944441</v>
      </c>
      <c r="D90">
        <v>9</v>
      </c>
      <c r="E90" s="2">
        <v>46050.459490740737</v>
      </c>
      <c r="F90" t="s">
        <v>34</v>
      </c>
      <c r="G90" t="s">
        <v>35</v>
      </c>
      <c r="I90" t="s">
        <v>4</v>
      </c>
      <c r="J90" t="s">
        <v>120</v>
      </c>
      <c r="K90" t="s">
        <v>38</v>
      </c>
      <c r="L90">
        <v>600</v>
      </c>
      <c r="M90">
        <v>6172</v>
      </c>
      <c r="N90">
        <v>8</v>
      </c>
      <c r="O90">
        <v>9</v>
      </c>
      <c r="P90">
        <v>10</v>
      </c>
      <c r="Q90">
        <v>8</v>
      </c>
      <c r="R90">
        <v>10</v>
      </c>
      <c r="S90">
        <v>9</v>
      </c>
      <c r="T90">
        <v>9</v>
      </c>
      <c r="U90">
        <v>9</v>
      </c>
      <c r="V90">
        <v>9</v>
      </c>
      <c r="W90" t="s">
        <v>49</v>
      </c>
      <c r="AB90" t="s">
        <v>194</v>
      </c>
      <c r="AC90" t="s">
        <v>174</v>
      </c>
      <c r="AD90" t="s">
        <v>52</v>
      </c>
      <c r="AE90" t="s">
        <v>220</v>
      </c>
      <c r="AF90" t="s">
        <v>44</v>
      </c>
      <c r="AG90" t="s">
        <v>45</v>
      </c>
      <c r="AI90" t="s">
        <v>53</v>
      </c>
    </row>
    <row r="91" spans="1:35" x14ac:dyDescent="0.35">
      <c r="A91">
        <v>20131181</v>
      </c>
      <c r="B91" s="2">
        <v>46049.379596030092</v>
      </c>
      <c r="C91" s="2">
        <v>46054.374085648145</v>
      </c>
      <c r="D91">
        <v>9</v>
      </c>
      <c r="E91" s="2">
        <v>46049.034884259258</v>
      </c>
      <c r="F91" t="s">
        <v>34</v>
      </c>
      <c r="G91" t="s">
        <v>35</v>
      </c>
      <c r="I91" t="s">
        <v>48</v>
      </c>
      <c r="J91" t="s">
        <v>55</v>
      </c>
      <c r="K91" t="s">
        <v>38</v>
      </c>
      <c r="L91">
        <v>954</v>
      </c>
      <c r="M91">
        <v>15022</v>
      </c>
      <c r="N91">
        <v>8</v>
      </c>
      <c r="O91">
        <v>7</v>
      </c>
      <c r="P91">
        <v>5</v>
      </c>
      <c r="Q91">
        <v>2</v>
      </c>
      <c r="R91">
        <v>4</v>
      </c>
      <c r="S91">
        <v>5</v>
      </c>
      <c r="T91">
        <v>8</v>
      </c>
      <c r="U91">
        <v>10</v>
      </c>
      <c r="V91">
        <v>1</v>
      </c>
      <c r="W91" t="s">
        <v>49</v>
      </c>
      <c r="AB91" t="s">
        <v>153</v>
      </c>
      <c r="AC91" t="s">
        <v>154</v>
      </c>
      <c r="AD91" t="s">
        <v>52</v>
      </c>
      <c r="AE91" t="s">
        <v>220</v>
      </c>
      <c r="AF91" t="s">
        <v>44</v>
      </c>
      <c r="AG91" t="s">
        <v>45</v>
      </c>
      <c r="AI91" t="s">
        <v>53</v>
      </c>
    </row>
    <row r="92" spans="1:35" x14ac:dyDescent="0.35">
      <c r="A92">
        <v>20157198</v>
      </c>
      <c r="B92" s="2">
        <v>46054.362514641201</v>
      </c>
      <c r="C92" s="2">
        <v>46054.362812500003</v>
      </c>
      <c r="D92">
        <v>10</v>
      </c>
      <c r="E92" s="2">
        <v>46054.695034722223</v>
      </c>
      <c r="F92" t="s">
        <v>34</v>
      </c>
      <c r="G92" t="s">
        <v>35</v>
      </c>
      <c r="I92" t="s">
        <v>95</v>
      </c>
      <c r="J92" t="s">
        <v>77</v>
      </c>
      <c r="K92" t="s">
        <v>38</v>
      </c>
      <c r="L92">
        <v>51</v>
      </c>
      <c r="M92">
        <v>56</v>
      </c>
      <c r="N92">
        <v>10</v>
      </c>
      <c r="O92">
        <v>10</v>
      </c>
      <c r="P92">
        <v>10</v>
      </c>
      <c r="Q92">
        <v>10</v>
      </c>
      <c r="R92">
        <v>10</v>
      </c>
      <c r="S92">
        <v>10</v>
      </c>
      <c r="T92">
        <v>10</v>
      </c>
      <c r="U92">
        <v>10</v>
      </c>
      <c r="V92">
        <v>10</v>
      </c>
      <c r="W92" t="s">
        <v>49</v>
      </c>
      <c r="AB92" t="s">
        <v>195</v>
      </c>
      <c r="AC92" t="s">
        <v>144</v>
      </c>
      <c r="AD92" t="s">
        <v>52</v>
      </c>
      <c r="AE92" t="s">
        <v>220</v>
      </c>
      <c r="AF92" t="s">
        <v>44</v>
      </c>
      <c r="AG92" t="s">
        <v>45</v>
      </c>
      <c r="AI92" t="s">
        <v>53</v>
      </c>
    </row>
    <row r="93" spans="1:35" x14ac:dyDescent="0.35">
      <c r="A93">
        <v>20152401</v>
      </c>
      <c r="B93" s="2">
        <v>46053.37612778935</v>
      </c>
      <c r="C93" s="2">
        <v>46054.344757974533</v>
      </c>
      <c r="D93">
        <v>9</v>
      </c>
      <c r="E93" s="2">
        <v>46053.01767361111</v>
      </c>
      <c r="F93" t="s">
        <v>34</v>
      </c>
      <c r="G93" t="s">
        <v>35</v>
      </c>
      <c r="I93" t="s">
        <v>95</v>
      </c>
      <c r="J93" t="s">
        <v>196</v>
      </c>
      <c r="K93" t="s">
        <v>38</v>
      </c>
      <c r="L93">
        <v>126</v>
      </c>
      <c r="M93">
        <v>126</v>
      </c>
      <c r="N93">
        <v>10</v>
      </c>
      <c r="O93">
        <v>10</v>
      </c>
      <c r="P93">
        <v>10</v>
      </c>
      <c r="Q93">
        <v>10</v>
      </c>
      <c r="R93">
        <v>10</v>
      </c>
      <c r="S93">
        <v>10</v>
      </c>
      <c r="T93">
        <v>10</v>
      </c>
      <c r="U93">
        <v>10</v>
      </c>
      <c r="V93">
        <v>10</v>
      </c>
      <c r="W93" t="s">
        <v>49</v>
      </c>
      <c r="AB93" t="s">
        <v>197</v>
      </c>
      <c r="AC93" t="s">
        <v>144</v>
      </c>
      <c r="AD93" t="s">
        <v>52</v>
      </c>
      <c r="AE93" t="s">
        <v>220</v>
      </c>
      <c r="AF93" t="s">
        <v>44</v>
      </c>
      <c r="AG93" t="s">
        <v>45</v>
      </c>
      <c r="AI93" t="s">
        <v>61</v>
      </c>
    </row>
    <row r="94" spans="1:35" x14ac:dyDescent="0.35">
      <c r="A94">
        <v>20147455</v>
      </c>
      <c r="B94" s="2">
        <v>46052.377774305554</v>
      </c>
      <c r="C94" s="2">
        <v>46054.319745370369</v>
      </c>
      <c r="D94">
        <v>8</v>
      </c>
      <c r="E94" s="2">
        <v>46052.575891203705</v>
      </c>
      <c r="F94" t="s">
        <v>54</v>
      </c>
      <c r="G94" t="s">
        <v>35</v>
      </c>
      <c r="I94" t="s">
        <v>48</v>
      </c>
      <c r="J94" t="s">
        <v>120</v>
      </c>
      <c r="K94" t="s">
        <v>62</v>
      </c>
      <c r="L94">
        <v>0</v>
      </c>
      <c r="M94">
        <v>32</v>
      </c>
      <c r="N94">
        <v>10</v>
      </c>
      <c r="O94">
        <v>9</v>
      </c>
      <c r="P94" t="s">
        <v>39</v>
      </c>
      <c r="Q94" t="s">
        <v>39</v>
      </c>
      <c r="R94">
        <v>10</v>
      </c>
      <c r="S94">
        <v>10</v>
      </c>
      <c r="T94">
        <v>10</v>
      </c>
      <c r="U94">
        <v>10</v>
      </c>
      <c r="V94">
        <v>10</v>
      </c>
      <c r="W94" t="s">
        <v>49</v>
      </c>
      <c r="AB94" t="s">
        <v>192</v>
      </c>
      <c r="AC94" t="s">
        <v>147</v>
      </c>
      <c r="AD94" t="s">
        <v>52</v>
      </c>
      <c r="AE94" t="s">
        <v>219</v>
      </c>
      <c r="AF94" t="s">
        <v>44</v>
      </c>
      <c r="AG94" t="s">
        <v>45</v>
      </c>
      <c r="AI94" t="s">
        <v>53</v>
      </c>
    </row>
    <row r="95" spans="1:35" x14ac:dyDescent="0.35">
      <c r="A95">
        <v>20152211</v>
      </c>
      <c r="B95" s="2">
        <v>46053.375520243055</v>
      </c>
      <c r="C95" s="2">
        <v>46054.303368055553</v>
      </c>
      <c r="D95">
        <v>10</v>
      </c>
      <c r="E95" s="2">
        <v>46053.545567129629</v>
      </c>
      <c r="F95" t="s">
        <v>58</v>
      </c>
      <c r="G95" t="s">
        <v>35</v>
      </c>
      <c r="I95" t="s">
        <v>4</v>
      </c>
      <c r="J95" t="s">
        <v>69</v>
      </c>
      <c r="K95" t="s">
        <v>38</v>
      </c>
      <c r="L95">
        <v>1324</v>
      </c>
      <c r="M95">
        <v>49808</v>
      </c>
      <c r="N95">
        <v>10</v>
      </c>
      <c r="O95">
        <v>10</v>
      </c>
      <c r="P95">
        <v>10</v>
      </c>
      <c r="Q95">
        <v>10</v>
      </c>
      <c r="R95">
        <v>10</v>
      </c>
      <c r="S95">
        <v>10</v>
      </c>
      <c r="T95">
        <v>10</v>
      </c>
      <c r="U95">
        <v>10</v>
      </c>
      <c r="V95">
        <v>4</v>
      </c>
      <c r="W95" t="s">
        <v>49</v>
      </c>
      <c r="AB95" t="s">
        <v>198</v>
      </c>
      <c r="AC95" t="s">
        <v>133</v>
      </c>
      <c r="AD95" t="s">
        <v>136</v>
      </c>
      <c r="AE95" t="s">
        <v>219</v>
      </c>
      <c r="AF95" t="s">
        <v>44</v>
      </c>
      <c r="AG95" t="s">
        <v>45</v>
      </c>
      <c r="AI95" t="s">
        <v>46</v>
      </c>
    </row>
    <row r="96" spans="1:35" x14ac:dyDescent="0.35">
      <c r="A96">
        <v>20156858</v>
      </c>
      <c r="B96" s="2">
        <v>46054.279977106482</v>
      </c>
      <c r="C96" s="2">
        <v>46054.279791666668</v>
      </c>
      <c r="D96">
        <v>10</v>
      </c>
      <c r="E96" s="2">
        <v>46054.612442129626</v>
      </c>
      <c r="F96" t="s">
        <v>34</v>
      </c>
      <c r="G96" t="s">
        <v>35</v>
      </c>
      <c r="I96" t="s">
        <v>95</v>
      </c>
      <c r="J96" t="s">
        <v>77</v>
      </c>
      <c r="K96" t="s">
        <v>38</v>
      </c>
      <c r="L96">
        <v>24</v>
      </c>
      <c r="M96">
        <v>24</v>
      </c>
      <c r="N96">
        <v>10</v>
      </c>
      <c r="O96">
        <v>10</v>
      </c>
      <c r="P96">
        <v>10</v>
      </c>
      <c r="Q96">
        <v>10</v>
      </c>
      <c r="R96">
        <v>10</v>
      </c>
      <c r="S96">
        <v>10</v>
      </c>
      <c r="T96">
        <v>10</v>
      </c>
      <c r="U96">
        <v>10</v>
      </c>
      <c r="V96">
        <v>10</v>
      </c>
      <c r="W96" t="s">
        <v>49</v>
      </c>
      <c r="AB96" t="s">
        <v>171</v>
      </c>
      <c r="AC96" t="s">
        <v>154</v>
      </c>
      <c r="AD96" t="s">
        <v>52</v>
      </c>
      <c r="AE96" t="s">
        <v>220</v>
      </c>
      <c r="AF96" t="s">
        <v>44</v>
      </c>
      <c r="AG96" t="s">
        <v>45</v>
      </c>
      <c r="AI96" t="s">
        <v>53</v>
      </c>
    </row>
    <row r="97" spans="1:35" x14ac:dyDescent="0.35">
      <c r="A97">
        <v>20156794</v>
      </c>
      <c r="B97" s="2">
        <v>46054.258123460648</v>
      </c>
      <c r="C97" s="2">
        <v>46054.25818287037</v>
      </c>
      <c r="D97">
        <v>10</v>
      </c>
      <c r="E97" s="2">
        <v>46054.590682870374</v>
      </c>
      <c r="F97" t="s">
        <v>34</v>
      </c>
      <c r="G97" t="s">
        <v>35</v>
      </c>
      <c r="I97" t="s">
        <v>95</v>
      </c>
      <c r="J97" t="s">
        <v>69</v>
      </c>
      <c r="K97" t="s">
        <v>38</v>
      </c>
      <c r="L97">
        <v>14</v>
      </c>
      <c r="M97">
        <v>15</v>
      </c>
      <c r="N97">
        <v>10</v>
      </c>
      <c r="O97">
        <v>10</v>
      </c>
      <c r="P97">
        <v>10</v>
      </c>
      <c r="Q97">
        <v>10</v>
      </c>
      <c r="R97">
        <v>10</v>
      </c>
      <c r="S97">
        <v>10</v>
      </c>
      <c r="T97">
        <v>10</v>
      </c>
      <c r="U97">
        <v>10</v>
      </c>
      <c r="V97">
        <v>10</v>
      </c>
      <c r="W97" t="s">
        <v>49</v>
      </c>
      <c r="AB97" t="s">
        <v>199</v>
      </c>
      <c r="AC97" t="s">
        <v>174</v>
      </c>
      <c r="AD97" t="s">
        <v>52</v>
      </c>
      <c r="AE97" t="s">
        <v>220</v>
      </c>
      <c r="AF97" t="s">
        <v>44</v>
      </c>
      <c r="AG97" t="s">
        <v>45</v>
      </c>
      <c r="AI97" t="s">
        <v>65</v>
      </c>
    </row>
    <row r="98" spans="1:35" x14ac:dyDescent="0.35">
      <c r="A98">
        <v>20148021</v>
      </c>
      <c r="B98" s="2">
        <v>46052.379683819447</v>
      </c>
      <c r="C98" s="2">
        <v>46054.253657407404</v>
      </c>
      <c r="D98">
        <v>0</v>
      </c>
      <c r="E98" s="2">
        <v>46051.834999999999</v>
      </c>
      <c r="F98" t="s">
        <v>58</v>
      </c>
      <c r="G98" t="s">
        <v>35</v>
      </c>
      <c r="I98" t="s">
        <v>4</v>
      </c>
      <c r="J98" t="s">
        <v>71</v>
      </c>
      <c r="K98" t="s">
        <v>38</v>
      </c>
      <c r="L98">
        <v>1560</v>
      </c>
      <c r="M98">
        <v>20321</v>
      </c>
      <c r="N98">
        <v>0</v>
      </c>
      <c r="O98">
        <v>0</v>
      </c>
      <c r="P98">
        <v>0</v>
      </c>
      <c r="Q98">
        <v>0</v>
      </c>
      <c r="R98">
        <v>0</v>
      </c>
      <c r="S98">
        <v>0</v>
      </c>
      <c r="T98">
        <v>0</v>
      </c>
      <c r="U98">
        <v>0</v>
      </c>
      <c r="V98">
        <v>0</v>
      </c>
      <c r="W98" t="s">
        <v>100</v>
      </c>
      <c r="AB98" t="s">
        <v>200</v>
      </c>
      <c r="AC98" t="s">
        <v>72</v>
      </c>
      <c r="AD98" t="s">
        <v>52</v>
      </c>
      <c r="AE98" t="s">
        <v>219</v>
      </c>
      <c r="AF98" t="s">
        <v>85</v>
      </c>
      <c r="AG98" t="s">
        <v>45</v>
      </c>
      <c r="AI98" t="s">
        <v>86</v>
      </c>
    </row>
    <row r="99" spans="1:35" x14ac:dyDescent="0.35">
      <c r="A99">
        <v>20152430</v>
      </c>
      <c r="B99" s="2">
        <v>46053.376247789354</v>
      </c>
      <c r="C99" s="2">
        <v>46054.240740740737</v>
      </c>
      <c r="D99">
        <v>8</v>
      </c>
      <c r="E99" s="2">
        <v>46053.484652777777</v>
      </c>
      <c r="F99" t="s">
        <v>58</v>
      </c>
      <c r="G99" t="s">
        <v>35</v>
      </c>
      <c r="I99" t="s">
        <v>4</v>
      </c>
      <c r="J99" t="s">
        <v>55</v>
      </c>
      <c r="K99" t="s">
        <v>38</v>
      </c>
      <c r="L99">
        <v>629</v>
      </c>
      <c r="M99">
        <v>4382</v>
      </c>
      <c r="N99">
        <v>7</v>
      </c>
      <c r="O99">
        <v>8</v>
      </c>
      <c r="P99">
        <v>8</v>
      </c>
      <c r="Q99">
        <v>8</v>
      </c>
      <c r="R99">
        <v>7</v>
      </c>
      <c r="S99">
        <v>8</v>
      </c>
      <c r="T99">
        <v>8</v>
      </c>
      <c r="U99">
        <v>8</v>
      </c>
      <c r="V99">
        <v>6</v>
      </c>
      <c r="W99" t="s">
        <v>49</v>
      </c>
      <c r="AB99" t="s">
        <v>201</v>
      </c>
      <c r="AC99" t="s">
        <v>109</v>
      </c>
      <c r="AD99" t="s">
        <v>52</v>
      </c>
      <c r="AE99" t="s">
        <v>219</v>
      </c>
      <c r="AF99" t="s">
        <v>44</v>
      </c>
      <c r="AG99" t="s">
        <v>45</v>
      </c>
      <c r="AI99" t="s">
        <v>53</v>
      </c>
    </row>
    <row r="100" spans="1:35" x14ac:dyDescent="0.35">
      <c r="A100">
        <v>20129820</v>
      </c>
      <c r="B100" s="2">
        <v>46049.375385891202</v>
      </c>
      <c r="C100" s="2">
        <v>46054.207997685182</v>
      </c>
      <c r="D100">
        <v>10</v>
      </c>
      <c r="E100" s="2">
        <v>46049.498865740738</v>
      </c>
      <c r="F100" t="s">
        <v>58</v>
      </c>
      <c r="G100" t="s">
        <v>35</v>
      </c>
      <c r="I100" t="s">
        <v>4</v>
      </c>
      <c r="J100" t="s">
        <v>69</v>
      </c>
      <c r="K100" t="s">
        <v>38</v>
      </c>
      <c r="L100">
        <v>421</v>
      </c>
      <c r="M100">
        <v>8697</v>
      </c>
      <c r="N100">
        <v>10</v>
      </c>
      <c r="O100">
        <v>10</v>
      </c>
      <c r="P100">
        <v>10</v>
      </c>
      <c r="Q100">
        <v>10</v>
      </c>
      <c r="R100">
        <v>10</v>
      </c>
      <c r="S100">
        <v>10</v>
      </c>
      <c r="T100">
        <v>10</v>
      </c>
      <c r="U100">
        <v>10</v>
      </c>
      <c r="V100">
        <v>10</v>
      </c>
      <c r="W100" t="s">
        <v>49</v>
      </c>
      <c r="AB100" t="s">
        <v>155</v>
      </c>
      <c r="AC100" t="s">
        <v>156</v>
      </c>
      <c r="AD100" t="s">
        <v>52</v>
      </c>
      <c r="AE100" t="s">
        <v>219</v>
      </c>
      <c r="AF100" t="s">
        <v>44</v>
      </c>
      <c r="AG100" t="s">
        <v>45</v>
      </c>
      <c r="AI100" t="s">
        <v>65</v>
      </c>
    </row>
    <row r="101" spans="1:35" x14ac:dyDescent="0.35">
      <c r="A101">
        <v>20152198</v>
      </c>
      <c r="B101" s="2">
        <v>46053.375491180559</v>
      </c>
      <c r="C101" s="2">
        <v>46054.158032407409</v>
      </c>
      <c r="D101">
        <v>0</v>
      </c>
      <c r="E101" s="2">
        <v>46052.917199074072</v>
      </c>
      <c r="F101" t="s">
        <v>58</v>
      </c>
      <c r="G101" t="s">
        <v>35</v>
      </c>
      <c r="I101" t="s">
        <v>4</v>
      </c>
      <c r="J101" t="s">
        <v>119</v>
      </c>
      <c r="K101" t="s">
        <v>38</v>
      </c>
      <c r="L101">
        <v>106</v>
      </c>
      <c r="M101">
        <v>13591</v>
      </c>
      <c r="N101">
        <v>0</v>
      </c>
      <c r="O101">
        <v>0</v>
      </c>
      <c r="P101">
        <v>0</v>
      </c>
      <c r="Q101">
        <v>0</v>
      </c>
      <c r="R101">
        <v>0</v>
      </c>
      <c r="S101">
        <v>0</v>
      </c>
      <c r="T101">
        <v>0</v>
      </c>
      <c r="U101">
        <v>0</v>
      </c>
      <c r="V101">
        <v>0</v>
      </c>
      <c r="W101" t="s">
        <v>100</v>
      </c>
      <c r="AB101" t="s">
        <v>93</v>
      </c>
      <c r="AC101" t="s">
        <v>94</v>
      </c>
      <c r="AD101" t="s">
        <v>52</v>
      </c>
      <c r="AE101" t="s">
        <v>220</v>
      </c>
      <c r="AF101" t="s">
        <v>85</v>
      </c>
      <c r="AG101" t="s">
        <v>45</v>
      </c>
      <c r="AI101" t="s">
        <v>86</v>
      </c>
    </row>
    <row r="102" spans="1:35" x14ac:dyDescent="0.35">
      <c r="A102">
        <v>20151354</v>
      </c>
      <c r="B102" s="2">
        <v>46053.122698969906</v>
      </c>
      <c r="C102" s="2">
        <v>46054.052743055552</v>
      </c>
      <c r="D102">
        <v>8</v>
      </c>
      <c r="E102" s="2">
        <v>46053.455381944441</v>
      </c>
      <c r="F102" t="s">
        <v>34</v>
      </c>
      <c r="G102" t="s">
        <v>35</v>
      </c>
      <c r="I102" t="s">
        <v>95</v>
      </c>
      <c r="J102" t="s">
        <v>202</v>
      </c>
      <c r="K102" t="s">
        <v>38</v>
      </c>
      <c r="L102">
        <v>72</v>
      </c>
      <c r="M102">
        <v>261</v>
      </c>
      <c r="N102">
        <v>10</v>
      </c>
      <c r="O102">
        <v>10</v>
      </c>
      <c r="P102">
        <v>10</v>
      </c>
      <c r="Q102" t="s">
        <v>39</v>
      </c>
      <c r="R102">
        <v>10</v>
      </c>
      <c r="S102">
        <v>10</v>
      </c>
      <c r="T102">
        <v>10</v>
      </c>
      <c r="U102">
        <v>10</v>
      </c>
      <c r="V102">
        <v>10</v>
      </c>
      <c r="W102" t="s">
        <v>49</v>
      </c>
      <c r="AB102" t="s">
        <v>184</v>
      </c>
      <c r="AC102" t="s">
        <v>130</v>
      </c>
      <c r="AD102" t="s">
        <v>52</v>
      </c>
      <c r="AE102" t="s">
        <v>220</v>
      </c>
      <c r="AF102" t="s">
        <v>44</v>
      </c>
      <c r="AG102" t="s">
        <v>45</v>
      </c>
      <c r="AI102" t="s">
        <v>53</v>
      </c>
    </row>
    <row r="103" spans="1:35" x14ac:dyDescent="0.35">
      <c r="A103">
        <v>20156147</v>
      </c>
      <c r="B103" s="2">
        <v>46054.028922962963</v>
      </c>
      <c r="C103" s="2">
        <v>46054.031053240738</v>
      </c>
      <c r="D103">
        <v>10</v>
      </c>
      <c r="E103" s="2">
        <v>46054.361481481479</v>
      </c>
      <c r="F103" t="s">
        <v>34</v>
      </c>
      <c r="G103" t="s">
        <v>35</v>
      </c>
      <c r="I103" t="s">
        <v>95</v>
      </c>
      <c r="J103" t="s">
        <v>37</v>
      </c>
      <c r="K103" t="s">
        <v>38</v>
      </c>
      <c r="L103">
        <v>15</v>
      </c>
      <c r="M103">
        <v>15</v>
      </c>
      <c r="N103">
        <v>10</v>
      </c>
      <c r="O103">
        <v>10</v>
      </c>
      <c r="P103">
        <v>10</v>
      </c>
      <c r="Q103">
        <v>10</v>
      </c>
      <c r="R103">
        <v>10</v>
      </c>
      <c r="S103">
        <v>10</v>
      </c>
      <c r="T103">
        <v>10</v>
      </c>
      <c r="U103">
        <v>10</v>
      </c>
      <c r="V103">
        <v>10</v>
      </c>
      <c r="W103" t="s">
        <v>49</v>
      </c>
      <c r="AB103" t="s">
        <v>203</v>
      </c>
      <c r="AC103" t="s">
        <v>204</v>
      </c>
      <c r="AD103" t="s">
        <v>52</v>
      </c>
      <c r="AE103" t="s">
        <v>220</v>
      </c>
      <c r="AF103" t="s">
        <v>44</v>
      </c>
      <c r="AG103" t="s">
        <v>45</v>
      </c>
      <c r="AI103" t="s">
        <v>61</v>
      </c>
    </row>
  </sheetData>
  <autoFilter ref="A1:AI103" xr:uid="{B7085FCF-B11C-4137-9A1E-06FED2C31DF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1B80-38A3-46F3-ACD5-0F2C2D6620EE}">
  <dimension ref="A1:AK103"/>
  <sheetViews>
    <sheetView topLeftCell="M1" zoomScaleNormal="100" workbookViewId="0">
      <selection activeCell="N1" sqref="N1:O1048576"/>
    </sheetView>
  </sheetViews>
  <sheetFormatPr defaultRowHeight="14.5" x14ac:dyDescent="0.35"/>
  <cols>
    <col min="1" max="1" width="9.36328125" bestFit="1" customWidth="1"/>
    <col min="2" max="2" width="15" style="3" bestFit="1" customWidth="1"/>
    <col min="3" max="3" width="15.90625" style="3" bestFit="1" customWidth="1"/>
    <col min="4" max="4" width="15.90625" style="3" customWidth="1"/>
    <col min="5" max="5" width="20.1796875" style="3" bestFit="1" customWidth="1"/>
    <col min="6" max="6" width="25.7265625" bestFit="1" customWidth="1"/>
    <col min="7" max="7" width="19.08984375" style="3" bestFit="1" customWidth="1"/>
    <col min="8" max="8" width="22.6328125" bestFit="1" customWidth="1"/>
    <col min="9" max="9" width="10.453125" bestFit="1" customWidth="1"/>
    <col min="10" max="10" width="17" bestFit="1" customWidth="1"/>
    <col min="11" max="11" width="26.1796875" bestFit="1" customWidth="1"/>
    <col min="12" max="12" width="6.36328125" bestFit="1" customWidth="1"/>
    <col min="13" max="13" width="21.08984375" bestFit="1" customWidth="1"/>
    <col min="14" max="14" width="20.81640625" style="7" bestFit="1" customWidth="1"/>
    <col min="15" max="16" width="20.81640625" style="7" customWidth="1"/>
    <col min="17" max="17" width="51.08984375" bestFit="1" customWidth="1"/>
    <col min="18" max="18" width="36.26953125" bestFit="1" customWidth="1"/>
    <col min="19" max="19" width="16.90625" bestFit="1" customWidth="1"/>
    <col min="20" max="20" width="12.81640625" bestFit="1" customWidth="1"/>
    <col min="21" max="21" width="23.1796875" bestFit="1" customWidth="1"/>
    <col min="22" max="22" width="21.90625" bestFit="1" customWidth="1"/>
    <col min="23" max="23" width="13.36328125" bestFit="1" customWidth="1"/>
    <col min="24" max="24" width="39.6328125" bestFit="1" customWidth="1"/>
    <col min="25" max="25" width="32.1796875" bestFit="1" customWidth="1"/>
    <col min="26" max="26" width="24.54296875" bestFit="1" customWidth="1"/>
    <col min="27" max="27" width="12.81640625" bestFit="1" customWidth="1"/>
    <col min="28" max="28" width="17.7265625" bestFit="1" customWidth="1"/>
    <col min="29" max="29" width="23" bestFit="1" customWidth="1"/>
    <col min="30" max="30" width="12.81640625" bestFit="1" customWidth="1"/>
    <col min="31" max="31" width="16.36328125" bestFit="1" customWidth="1"/>
    <col min="32" max="32" width="16.08984375" bestFit="1" customWidth="1"/>
    <col min="33" max="33" width="22.1796875" bestFit="1" customWidth="1"/>
    <col min="34" max="34" width="24.6328125" bestFit="1" customWidth="1"/>
    <col min="36" max="36" width="11.81640625" bestFit="1" customWidth="1"/>
  </cols>
  <sheetData>
    <row r="1" spans="1:37" x14ac:dyDescent="0.35">
      <c r="A1" s="1" t="s">
        <v>205</v>
      </c>
      <c r="B1" s="1" t="s">
        <v>0</v>
      </c>
      <c r="C1" s="1" t="s">
        <v>1</v>
      </c>
      <c r="D1" s="5" t="s">
        <v>209</v>
      </c>
      <c r="E1" s="5" t="s">
        <v>207</v>
      </c>
      <c r="F1" s="1" t="s">
        <v>2</v>
      </c>
      <c r="G1" s="1" t="s">
        <v>3</v>
      </c>
      <c r="H1" s="1" t="s">
        <v>5</v>
      </c>
      <c r="I1" s="1" t="s">
        <v>6</v>
      </c>
      <c r="J1" s="1" t="s">
        <v>8</v>
      </c>
      <c r="K1" s="1" t="s">
        <v>9</v>
      </c>
      <c r="L1" s="1" t="s">
        <v>10</v>
      </c>
      <c r="M1" s="1" t="s">
        <v>11</v>
      </c>
      <c r="N1" s="1" t="s">
        <v>12</v>
      </c>
      <c r="O1" s="5" t="s">
        <v>217</v>
      </c>
      <c r="P1" s="5" t="s">
        <v>216</v>
      </c>
      <c r="Q1" s="1" t="s">
        <v>13</v>
      </c>
      <c r="R1" s="1" t="s">
        <v>14</v>
      </c>
      <c r="S1" s="1" t="s">
        <v>15</v>
      </c>
      <c r="T1" s="1" t="s">
        <v>16</v>
      </c>
      <c r="U1" s="1" t="s">
        <v>17</v>
      </c>
      <c r="V1" s="1" t="s">
        <v>18</v>
      </c>
      <c r="W1" s="1" t="s">
        <v>19</v>
      </c>
      <c r="X1" s="1" t="s">
        <v>20</v>
      </c>
      <c r="Y1" s="1" t="s">
        <v>21</v>
      </c>
      <c r="Z1" s="1" t="s">
        <v>22</v>
      </c>
      <c r="AA1" s="1" t="s">
        <v>27</v>
      </c>
      <c r="AB1" s="1" t="s">
        <v>28</v>
      </c>
      <c r="AC1" s="5" t="s">
        <v>206</v>
      </c>
      <c r="AD1" s="1" t="s">
        <v>29</v>
      </c>
      <c r="AE1" s="5" t="s">
        <v>218</v>
      </c>
      <c r="AF1" s="5" t="s">
        <v>30</v>
      </c>
      <c r="AG1" s="1" t="s">
        <v>31</v>
      </c>
      <c r="AH1" s="1" t="s">
        <v>33</v>
      </c>
      <c r="AJ1" t="s">
        <v>224</v>
      </c>
    </row>
    <row r="2" spans="1:37" x14ac:dyDescent="0.35">
      <c r="A2">
        <v>20142096</v>
      </c>
      <c r="B2" s="3">
        <v>46051.378955717591</v>
      </c>
      <c r="C2" s="3">
        <v>46055.408668981479</v>
      </c>
      <c r="D2" s="3" t="str">
        <f t="shared" ref="D2:D33" si="0">IF(E2 = 100, "Promoter", IF(E2 = -100, "Detractor", "Passive"))</f>
        <v>Detractor</v>
      </c>
      <c r="E2" s="7">
        <f>IF(F2&gt;8, 100, IF(F2 &lt; 7, -100, 0))</f>
        <v>-100</v>
      </c>
      <c r="F2">
        <v>2</v>
      </c>
      <c r="G2" s="3">
        <v>46050.892175925925</v>
      </c>
      <c r="H2" t="s">
        <v>34</v>
      </c>
      <c r="I2" t="s">
        <v>35</v>
      </c>
      <c r="J2" t="s">
        <v>36</v>
      </c>
      <c r="K2" t="s">
        <v>37</v>
      </c>
      <c r="L2" t="s">
        <v>38</v>
      </c>
      <c r="M2">
        <v>367</v>
      </c>
      <c r="N2" s="7">
        <v>12935</v>
      </c>
      <c r="O2" s="7" t="str">
        <f>IF(OR(survey_data[[#This Row],[Full Resolution Time]]&gt;$AK$4, survey_data[[#This Row],[Full Resolution Time]] &lt; survey_data[[#This Row],[Lower Bound]]), "Outlier", "Normal")</f>
        <v>Normal</v>
      </c>
      <c r="P2" s="7">
        <f>_xlfn.QUARTILE.INC(survey_data[Full Resolution Time], 1)</f>
        <v>70.5</v>
      </c>
      <c r="Q2">
        <v>2</v>
      </c>
      <c r="R2" t="s">
        <v>39</v>
      </c>
      <c r="S2" t="s">
        <v>39</v>
      </c>
      <c r="T2" t="s">
        <v>39</v>
      </c>
      <c r="U2">
        <v>1</v>
      </c>
      <c r="V2">
        <v>1</v>
      </c>
      <c r="W2">
        <v>1</v>
      </c>
      <c r="X2">
        <v>0</v>
      </c>
      <c r="Y2">
        <v>0</v>
      </c>
      <c r="Z2" t="s">
        <v>40</v>
      </c>
      <c r="AA2" t="s">
        <v>41</v>
      </c>
      <c r="AB2" s="4" t="s">
        <v>42</v>
      </c>
      <c r="AC2" s="3" t="str">
        <f>TRIM(TEXT(AB2, "dd-mmm-yyyy"))</f>
        <v>05-Oct-2020</v>
      </c>
      <c r="AD2" t="s">
        <v>43</v>
      </c>
      <c r="AE2" t="s">
        <v>219</v>
      </c>
      <c r="AF2" t="s">
        <v>44</v>
      </c>
      <c r="AG2" t="s">
        <v>45</v>
      </c>
      <c r="AH2" t="s">
        <v>46</v>
      </c>
      <c r="AJ2" t="s">
        <v>214</v>
      </c>
      <c r="AK2">
        <f>AVERAGE(survey_data[Full Resolution Time])</f>
        <v>7027.088235294118</v>
      </c>
    </row>
    <row r="3" spans="1:37" x14ac:dyDescent="0.35">
      <c r="A3">
        <v>20142028</v>
      </c>
      <c r="B3" s="3">
        <v>46051.378735370374</v>
      </c>
      <c r="C3" s="3">
        <v>46055.403680555559</v>
      </c>
      <c r="D3" s="3" t="str">
        <f t="shared" si="0"/>
        <v>Promoter</v>
      </c>
      <c r="E3" s="7">
        <f t="shared" ref="E3:E66" si="1">IF(F3&gt;8, 100, IF(F3 &lt; 7, -100, 0))</f>
        <v>100</v>
      </c>
      <c r="F3">
        <v>10</v>
      </c>
      <c r="G3" s="3">
        <v>46051.073564814818</v>
      </c>
      <c r="H3" t="s">
        <v>34</v>
      </c>
      <c r="I3" t="s">
        <v>47</v>
      </c>
      <c r="J3" t="s">
        <v>48</v>
      </c>
      <c r="K3" t="s">
        <v>37</v>
      </c>
      <c r="L3" t="s">
        <v>38</v>
      </c>
      <c r="M3">
        <v>622</v>
      </c>
      <c r="N3" s="7">
        <v>12042</v>
      </c>
      <c r="O3" s="7" t="str">
        <f>IF(OR(survey_data[[#This Row],[Full Resolution Time]]&gt;$AK$4, survey_data[[#This Row],[Full Resolution Time]] &lt; survey_data[[#This Row],[Lower Bound]]), "Outlier", "Normal")</f>
        <v>Normal</v>
      </c>
      <c r="P3" s="7">
        <f>_xlfn.QUARTILE.INC(survey_data[Full Resolution Time], 1)</f>
        <v>70.5</v>
      </c>
      <c r="Q3">
        <v>10</v>
      </c>
      <c r="R3">
        <v>8</v>
      </c>
      <c r="S3">
        <v>8</v>
      </c>
      <c r="T3">
        <v>8</v>
      </c>
      <c r="U3">
        <v>8</v>
      </c>
      <c r="V3">
        <v>8</v>
      </c>
      <c r="W3">
        <v>8</v>
      </c>
      <c r="X3">
        <v>7</v>
      </c>
      <c r="Y3">
        <v>6</v>
      </c>
      <c r="Z3" t="s">
        <v>49</v>
      </c>
      <c r="AA3" t="s">
        <v>50</v>
      </c>
      <c r="AB3" t="s">
        <v>51</v>
      </c>
      <c r="AC3" s="3" t="str">
        <f t="shared" ref="AC3:AC66" si="2">TRIM(TEXT(AB3, "dd-mmm-yyyy"))</f>
        <v>18-Nov-2024</v>
      </c>
      <c r="AD3" t="s">
        <v>52</v>
      </c>
      <c r="AE3" t="s">
        <v>219</v>
      </c>
      <c r="AF3" t="s">
        <v>44</v>
      </c>
      <c r="AG3" t="s">
        <v>45</v>
      </c>
      <c r="AH3" t="s">
        <v>53</v>
      </c>
      <c r="AJ3" t="s">
        <v>213</v>
      </c>
      <c r="AK3">
        <f>_xlfn.STDEV.P(survey_data[Full Resolution Time])</f>
        <v>10501.04682466387</v>
      </c>
    </row>
    <row r="4" spans="1:37" x14ac:dyDescent="0.35">
      <c r="A4">
        <v>20147870</v>
      </c>
      <c r="B4" s="3">
        <v>46052.379087557871</v>
      </c>
      <c r="C4" s="3">
        <v>46055.402673611112</v>
      </c>
      <c r="D4" s="3" t="str">
        <f t="shared" si="0"/>
        <v>Promoter</v>
      </c>
      <c r="E4" s="7">
        <f t="shared" si="1"/>
        <v>100</v>
      </c>
      <c r="F4">
        <v>10</v>
      </c>
      <c r="G4" s="3">
        <v>46052.0237037037</v>
      </c>
      <c r="H4" t="s">
        <v>54</v>
      </c>
      <c r="I4" t="s">
        <v>35</v>
      </c>
      <c r="J4" t="s">
        <v>4</v>
      </c>
      <c r="K4" t="s">
        <v>55</v>
      </c>
      <c r="L4" t="s">
        <v>38</v>
      </c>
      <c r="M4">
        <v>492</v>
      </c>
      <c r="N4" s="7">
        <v>1896</v>
      </c>
      <c r="O4" s="7" t="str">
        <f>IF(OR(survey_data[[#This Row],[Full Resolution Time]]&gt;$AK$4, survey_data[[#This Row],[Full Resolution Time]] &lt; survey_data[[#This Row],[Lower Bound]]), "Outlier", "Normal")</f>
        <v>Normal</v>
      </c>
      <c r="P4" s="7">
        <f>_xlfn.QUARTILE.INC(survey_data[Full Resolution Time], 1)</f>
        <v>70.5</v>
      </c>
      <c r="Q4">
        <v>10</v>
      </c>
      <c r="R4">
        <v>10</v>
      </c>
      <c r="S4">
        <v>10</v>
      </c>
      <c r="T4">
        <v>10</v>
      </c>
      <c r="U4">
        <v>10</v>
      </c>
      <c r="V4">
        <v>10</v>
      </c>
      <c r="W4">
        <v>10</v>
      </c>
      <c r="X4">
        <v>10</v>
      </c>
      <c r="Y4">
        <v>10</v>
      </c>
      <c r="Z4" t="s">
        <v>49</v>
      </c>
      <c r="AA4" t="s">
        <v>56</v>
      </c>
      <c r="AB4" t="s">
        <v>57</v>
      </c>
      <c r="AC4" s="3" t="str">
        <f t="shared" si="2"/>
        <v>02-Nov-2020</v>
      </c>
      <c r="AD4" t="s">
        <v>52</v>
      </c>
      <c r="AE4" t="s">
        <v>219</v>
      </c>
      <c r="AF4" t="s">
        <v>44</v>
      </c>
      <c r="AG4" t="s">
        <v>45</v>
      </c>
      <c r="AH4" t="s">
        <v>53</v>
      </c>
      <c r="AJ4" t="s">
        <v>215</v>
      </c>
      <c r="AK4">
        <f>AK2 + (3*AK3)</f>
        <v>38530.22870928573</v>
      </c>
    </row>
    <row r="5" spans="1:37" x14ac:dyDescent="0.35">
      <c r="A5">
        <v>20164132</v>
      </c>
      <c r="B5" s="3">
        <v>46055.379660266204</v>
      </c>
      <c r="C5" s="3">
        <v>46055.401990740742</v>
      </c>
      <c r="D5" s="3" t="str">
        <f t="shared" si="0"/>
        <v>Promoter</v>
      </c>
      <c r="E5" s="7">
        <f t="shared" si="1"/>
        <v>100</v>
      </c>
      <c r="F5">
        <v>10</v>
      </c>
      <c r="G5" s="3">
        <v>46055.550891203704</v>
      </c>
      <c r="H5" t="s">
        <v>58</v>
      </c>
      <c r="I5" t="s">
        <v>35</v>
      </c>
      <c r="J5" t="s">
        <v>4</v>
      </c>
      <c r="K5" t="s">
        <v>37</v>
      </c>
      <c r="L5" t="s">
        <v>38</v>
      </c>
      <c r="M5">
        <v>435</v>
      </c>
      <c r="N5" s="7">
        <v>736</v>
      </c>
      <c r="O5" s="7" t="str">
        <f>IF(OR(survey_data[[#This Row],[Full Resolution Time]]&gt;$AK$4, survey_data[[#This Row],[Full Resolution Time]] &lt; survey_data[[#This Row],[Lower Bound]]), "Outlier", "Normal")</f>
        <v>Normal</v>
      </c>
      <c r="P5" s="7">
        <f>_xlfn.QUARTILE.INC(survey_data[Full Resolution Time], 1)</f>
        <v>70.5</v>
      </c>
      <c r="Q5">
        <v>10</v>
      </c>
      <c r="R5">
        <v>10</v>
      </c>
      <c r="S5">
        <v>10</v>
      </c>
      <c r="T5">
        <v>10</v>
      </c>
      <c r="U5">
        <v>10</v>
      </c>
      <c r="V5">
        <v>10</v>
      </c>
      <c r="W5">
        <v>10</v>
      </c>
      <c r="X5">
        <v>10</v>
      </c>
      <c r="Y5">
        <v>10</v>
      </c>
      <c r="Z5" t="s">
        <v>49</v>
      </c>
      <c r="AA5" t="s">
        <v>59</v>
      </c>
      <c r="AB5" t="s">
        <v>60</v>
      </c>
      <c r="AC5" s="3" t="str">
        <f t="shared" si="2"/>
        <v>29-Sep-2024</v>
      </c>
      <c r="AD5" t="s">
        <v>52</v>
      </c>
      <c r="AE5" t="s">
        <v>219</v>
      </c>
      <c r="AF5" t="s">
        <v>44</v>
      </c>
      <c r="AG5" t="s">
        <v>45</v>
      </c>
      <c r="AH5" t="s">
        <v>61</v>
      </c>
    </row>
    <row r="6" spans="1:37" x14ac:dyDescent="0.35">
      <c r="A6">
        <v>20163601</v>
      </c>
      <c r="B6" s="3">
        <v>46055.378029328705</v>
      </c>
      <c r="C6" s="3">
        <v>46055.40053240741</v>
      </c>
      <c r="D6" s="3" t="str">
        <f t="shared" si="0"/>
        <v>Promoter</v>
      </c>
      <c r="E6" s="7">
        <f t="shared" si="1"/>
        <v>100</v>
      </c>
      <c r="F6">
        <v>9</v>
      </c>
      <c r="G6" s="3">
        <v>46055.706504629627</v>
      </c>
      <c r="H6" t="s">
        <v>34</v>
      </c>
      <c r="I6" t="s">
        <v>47</v>
      </c>
      <c r="J6" t="s">
        <v>48</v>
      </c>
      <c r="K6" t="s">
        <v>37</v>
      </c>
      <c r="L6" t="s">
        <v>62</v>
      </c>
      <c r="M6">
        <v>9</v>
      </c>
      <c r="N6" s="7">
        <v>7112</v>
      </c>
      <c r="O6" s="7" t="str">
        <f>IF(OR(survey_data[[#This Row],[Full Resolution Time]]&gt;$AK$4, survey_data[[#This Row],[Full Resolution Time]] &lt; survey_data[[#This Row],[Lower Bound]]), "Outlier", "Normal")</f>
        <v>Normal</v>
      </c>
      <c r="P6" s="7">
        <f>_xlfn.QUARTILE.INC(survey_data[Full Resolution Time], 1)</f>
        <v>70.5</v>
      </c>
      <c r="Q6">
        <v>10</v>
      </c>
      <c r="R6">
        <v>10</v>
      </c>
      <c r="S6">
        <v>10</v>
      </c>
      <c r="T6">
        <v>10</v>
      </c>
      <c r="U6">
        <v>10</v>
      </c>
      <c r="V6">
        <v>10</v>
      </c>
      <c r="W6">
        <v>10</v>
      </c>
      <c r="X6">
        <v>9</v>
      </c>
      <c r="Y6">
        <v>5</v>
      </c>
      <c r="Z6" t="s">
        <v>49</v>
      </c>
      <c r="AA6" t="s">
        <v>63</v>
      </c>
      <c r="AB6" t="s">
        <v>64</v>
      </c>
      <c r="AC6" s="3" t="str">
        <f t="shared" si="2"/>
        <v>17-Apr-2024</v>
      </c>
      <c r="AD6" t="s">
        <v>52</v>
      </c>
      <c r="AE6" t="s">
        <v>220</v>
      </c>
      <c r="AF6" t="s">
        <v>44</v>
      </c>
      <c r="AG6" t="s">
        <v>45</v>
      </c>
      <c r="AH6" t="s">
        <v>65</v>
      </c>
    </row>
    <row r="7" spans="1:37" x14ac:dyDescent="0.35">
      <c r="A7">
        <v>20142463</v>
      </c>
      <c r="B7" s="3">
        <v>46051.380129571757</v>
      </c>
      <c r="C7" s="3">
        <v>46055.396435185183</v>
      </c>
      <c r="D7" s="3" t="str">
        <f t="shared" si="0"/>
        <v>Promoter</v>
      </c>
      <c r="E7" s="7">
        <f t="shared" si="1"/>
        <v>100</v>
      </c>
      <c r="F7">
        <v>10</v>
      </c>
      <c r="G7" s="3">
        <v>46050.910243055558</v>
      </c>
      <c r="H7" t="s">
        <v>34</v>
      </c>
      <c r="I7" t="s">
        <v>35</v>
      </c>
      <c r="J7" t="s">
        <v>4</v>
      </c>
      <c r="K7" t="s">
        <v>66</v>
      </c>
      <c r="L7" t="s">
        <v>38</v>
      </c>
      <c r="M7">
        <v>476</v>
      </c>
      <c r="N7" s="7">
        <v>9970</v>
      </c>
      <c r="O7" s="7" t="str">
        <f>IF(OR(survey_data[[#This Row],[Full Resolution Time]]&gt;$AK$4, survey_data[[#This Row],[Full Resolution Time]] &lt; survey_data[[#This Row],[Lower Bound]]), "Outlier", "Normal")</f>
        <v>Normal</v>
      </c>
      <c r="P7" s="7">
        <f>_xlfn.QUARTILE.INC(survey_data[Full Resolution Time], 1)</f>
        <v>70.5</v>
      </c>
      <c r="Q7">
        <v>10</v>
      </c>
      <c r="R7">
        <v>10</v>
      </c>
      <c r="S7">
        <v>10</v>
      </c>
      <c r="T7">
        <v>10</v>
      </c>
      <c r="U7">
        <v>10</v>
      </c>
      <c r="V7">
        <v>10</v>
      </c>
      <c r="W7">
        <v>10</v>
      </c>
      <c r="X7">
        <v>10</v>
      </c>
      <c r="Y7">
        <v>4</v>
      </c>
      <c r="Z7" t="s">
        <v>49</v>
      </c>
      <c r="AA7" t="s">
        <v>67</v>
      </c>
      <c r="AB7" t="s">
        <v>68</v>
      </c>
      <c r="AC7" s="3" t="str">
        <f t="shared" si="2"/>
        <v>01-Sep-2024</v>
      </c>
      <c r="AD7" t="s">
        <v>52</v>
      </c>
      <c r="AE7" t="s">
        <v>219</v>
      </c>
      <c r="AF7" t="s">
        <v>44</v>
      </c>
      <c r="AG7" t="s">
        <v>45</v>
      </c>
      <c r="AH7" t="s">
        <v>61</v>
      </c>
    </row>
    <row r="8" spans="1:37" x14ac:dyDescent="0.35">
      <c r="A8">
        <v>20163492</v>
      </c>
      <c r="B8" s="3">
        <v>46055.37765253472</v>
      </c>
      <c r="C8" s="3">
        <v>46055.395381944443</v>
      </c>
      <c r="D8" s="3" t="str">
        <f t="shared" si="0"/>
        <v>Promoter</v>
      </c>
      <c r="E8" s="7">
        <f t="shared" si="1"/>
        <v>100</v>
      </c>
      <c r="F8">
        <v>10</v>
      </c>
      <c r="G8" s="3">
        <v>46055.125405092593</v>
      </c>
      <c r="H8" t="s">
        <v>34</v>
      </c>
      <c r="I8" t="s">
        <v>35</v>
      </c>
      <c r="J8" t="s">
        <v>48</v>
      </c>
      <c r="K8" t="s">
        <v>69</v>
      </c>
      <c r="L8" t="s">
        <v>62</v>
      </c>
      <c r="M8">
        <v>3</v>
      </c>
      <c r="N8" s="7">
        <v>38</v>
      </c>
      <c r="O8" s="7" t="str">
        <f>IF(OR(survey_data[[#This Row],[Full Resolution Time]]&gt;$AK$4, survey_data[[#This Row],[Full Resolution Time]] &lt; survey_data[[#This Row],[Lower Bound]]), "Outlier", "Normal")</f>
        <v>Outlier</v>
      </c>
      <c r="P8" s="7">
        <f>_xlfn.QUARTILE.INC(survey_data[Full Resolution Time], 1)</f>
        <v>70.5</v>
      </c>
      <c r="Q8">
        <v>10</v>
      </c>
      <c r="R8">
        <v>10</v>
      </c>
      <c r="S8">
        <v>10</v>
      </c>
      <c r="T8">
        <v>10</v>
      </c>
      <c r="U8">
        <v>10</v>
      </c>
      <c r="V8">
        <v>10</v>
      </c>
      <c r="W8">
        <v>10</v>
      </c>
      <c r="X8">
        <v>10</v>
      </c>
      <c r="Y8">
        <v>10</v>
      </c>
      <c r="Z8" t="s">
        <v>49</v>
      </c>
      <c r="AA8" t="s">
        <v>70</v>
      </c>
      <c r="AB8" t="s">
        <v>51</v>
      </c>
      <c r="AC8" s="3" t="str">
        <f t="shared" si="2"/>
        <v>18-Nov-2024</v>
      </c>
      <c r="AD8" t="s">
        <v>52</v>
      </c>
      <c r="AE8" t="s">
        <v>219</v>
      </c>
      <c r="AF8" t="s">
        <v>44</v>
      </c>
      <c r="AG8" t="s">
        <v>45</v>
      </c>
      <c r="AH8" t="s">
        <v>65</v>
      </c>
    </row>
    <row r="9" spans="1:37" x14ac:dyDescent="0.35">
      <c r="A9">
        <v>20164244</v>
      </c>
      <c r="B9" s="3">
        <v>46055.380048217594</v>
      </c>
      <c r="C9" s="3">
        <v>46055.393969907411</v>
      </c>
      <c r="D9" s="3" t="str">
        <f t="shared" si="0"/>
        <v>Promoter</v>
      </c>
      <c r="E9" s="7">
        <f t="shared" si="1"/>
        <v>100</v>
      </c>
      <c r="F9">
        <v>10</v>
      </c>
      <c r="G9" s="3">
        <v>46055.62363425926</v>
      </c>
      <c r="H9" t="s">
        <v>34</v>
      </c>
      <c r="I9" t="s">
        <v>35</v>
      </c>
      <c r="J9" t="s">
        <v>4</v>
      </c>
      <c r="K9" t="s">
        <v>71</v>
      </c>
      <c r="L9" t="s">
        <v>38</v>
      </c>
      <c r="M9">
        <v>2130</v>
      </c>
      <c r="N9" s="7">
        <v>23336</v>
      </c>
      <c r="O9" s="7" t="str">
        <f>IF(OR(survey_data[[#This Row],[Full Resolution Time]]&gt;$AK$4, survey_data[[#This Row],[Full Resolution Time]] &lt; survey_data[[#This Row],[Lower Bound]]), "Outlier", "Normal")</f>
        <v>Normal</v>
      </c>
      <c r="P9" s="7">
        <f>_xlfn.QUARTILE.INC(survey_data[Full Resolution Time], 1)</f>
        <v>70.5</v>
      </c>
      <c r="Q9">
        <v>10</v>
      </c>
      <c r="R9">
        <v>10</v>
      </c>
      <c r="S9">
        <v>10</v>
      </c>
      <c r="T9">
        <v>10</v>
      </c>
      <c r="U9">
        <v>10</v>
      </c>
      <c r="V9">
        <v>10</v>
      </c>
      <c r="W9">
        <v>10</v>
      </c>
      <c r="X9">
        <v>10</v>
      </c>
      <c r="Y9">
        <v>10</v>
      </c>
      <c r="Z9" t="s">
        <v>49</v>
      </c>
      <c r="AA9" t="s">
        <v>67</v>
      </c>
      <c r="AB9" t="s">
        <v>72</v>
      </c>
      <c r="AC9" s="3" t="str">
        <f t="shared" si="2"/>
        <v>10-Jun-2025</v>
      </c>
      <c r="AD9" t="s">
        <v>52</v>
      </c>
      <c r="AE9" t="s">
        <v>219</v>
      </c>
      <c r="AF9" t="s">
        <v>44</v>
      </c>
      <c r="AG9" t="s">
        <v>45</v>
      </c>
      <c r="AH9" t="s">
        <v>73</v>
      </c>
    </row>
    <row r="10" spans="1:37" x14ac:dyDescent="0.35">
      <c r="A10">
        <v>20163376</v>
      </c>
      <c r="B10" s="3">
        <v>46055.377288321761</v>
      </c>
      <c r="C10" s="3">
        <v>46055.392754629633</v>
      </c>
      <c r="D10" s="3" t="str">
        <f t="shared" si="0"/>
        <v>Promoter</v>
      </c>
      <c r="E10" s="7">
        <f t="shared" si="1"/>
        <v>100</v>
      </c>
      <c r="F10">
        <v>10</v>
      </c>
      <c r="G10" s="3">
        <v>46054.997870370367</v>
      </c>
      <c r="H10" t="s">
        <v>34</v>
      </c>
      <c r="I10" t="s">
        <v>35</v>
      </c>
      <c r="J10" t="s">
        <v>4</v>
      </c>
      <c r="K10" t="s">
        <v>69</v>
      </c>
      <c r="L10" t="s">
        <v>38</v>
      </c>
      <c r="M10">
        <v>262</v>
      </c>
      <c r="N10" s="7">
        <v>1490</v>
      </c>
      <c r="O10" s="7" t="str">
        <f>IF(OR(survey_data[[#This Row],[Full Resolution Time]]&gt;$AK$4, survey_data[[#This Row],[Full Resolution Time]] &lt; survey_data[[#This Row],[Lower Bound]]), "Outlier", "Normal")</f>
        <v>Normal</v>
      </c>
      <c r="P10" s="7">
        <f>_xlfn.QUARTILE.INC(survey_data[Full Resolution Time], 1)</f>
        <v>70.5</v>
      </c>
      <c r="Q10">
        <v>10</v>
      </c>
      <c r="R10">
        <v>10</v>
      </c>
      <c r="S10">
        <v>10</v>
      </c>
      <c r="T10">
        <v>10</v>
      </c>
      <c r="U10">
        <v>10</v>
      </c>
      <c r="V10">
        <v>10</v>
      </c>
      <c r="W10">
        <v>10</v>
      </c>
      <c r="X10">
        <v>10</v>
      </c>
      <c r="Y10">
        <v>10</v>
      </c>
      <c r="Z10" t="s">
        <v>49</v>
      </c>
      <c r="AA10" t="s">
        <v>74</v>
      </c>
      <c r="AB10" t="s">
        <v>75</v>
      </c>
      <c r="AC10" s="3" t="str">
        <f t="shared" si="2"/>
        <v>16-Aug-2023</v>
      </c>
      <c r="AD10" t="s">
        <v>52</v>
      </c>
      <c r="AE10" t="s">
        <v>219</v>
      </c>
      <c r="AF10" t="s">
        <v>44</v>
      </c>
      <c r="AG10" t="s">
        <v>45</v>
      </c>
      <c r="AH10" t="s">
        <v>65</v>
      </c>
    </row>
    <row r="11" spans="1:37" x14ac:dyDescent="0.35">
      <c r="A11">
        <v>20163079</v>
      </c>
      <c r="B11" s="3">
        <v>46055.376354479165</v>
      </c>
      <c r="C11" s="3">
        <v>46055.392488425925</v>
      </c>
      <c r="D11" s="3" t="str">
        <f t="shared" si="0"/>
        <v>Detractor</v>
      </c>
      <c r="E11" s="7">
        <f t="shared" si="1"/>
        <v>-100</v>
      </c>
      <c r="F11">
        <v>6</v>
      </c>
      <c r="G11" s="3">
        <v>46055.679803240739</v>
      </c>
      <c r="H11" t="s">
        <v>34</v>
      </c>
      <c r="I11" t="s">
        <v>76</v>
      </c>
      <c r="J11" t="s">
        <v>4</v>
      </c>
      <c r="K11" t="s">
        <v>77</v>
      </c>
      <c r="L11" t="s">
        <v>38</v>
      </c>
      <c r="M11">
        <v>216</v>
      </c>
      <c r="N11" s="7">
        <v>7359</v>
      </c>
      <c r="O11" s="7" t="str">
        <f>IF(OR(survey_data[[#This Row],[Full Resolution Time]]&gt;$AK$4, survey_data[[#This Row],[Full Resolution Time]] &lt; survey_data[[#This Row],[Lower Bound]]), "Outlier", "Normal")</f>
        <v>Normal</v>
      </c>
      <c r="P11" s="7">
        <f>_xlfn.QUARTILE.INC(survey_data[Full Resolution Time], 1)</f>
        <v>70.5</v>
      </c>
      <c r="Q11">
        <v>10</v>
      </c>
      <c r="R11">
        <v>10</v>
      </c>
      <c r="S11">
        <v>10</v>
      </c>
      <c r="T11">
        <v>10</v>
      </c>
      <c r="U11">
        <v>10</v>
      </c>
      <c r="V11">
        <v>10</v>
      </c>
      <c r="W11">
        <v>10</v>
      </c>
      <c r="X11">
        <v>10</v>
      </c>
      <c r="Y11">
        <v>6</v>
      </c>
      <c r="Z11" t="s">
        <v>49</v>
      </c>
      <c r="AA11" t="s">
        <v>67</v>
      </c>
      <c r="AB11" t="s">
        <v>72</v>
      </c>
      <c r="AC11" s="3" t="str">
        <f t="shared" si="2"/>
        <v>10-Jun-2025</v>
      </c>
      <c r="AD11" t="s">
        <v>52</v>
      </c>
      <c r="AE11" t="s">
        <v>219</v>
      </c>
      <c r="AF11" t="s">
        <v>44</v>
      </c>
      <c r="AG11" t="s">
        <v>45</v>
      </c>
      <c r="AH11" t="s">
        <v>73</v>
      </c>
    </row>
    <row r="12" spans="1:37" x14ac:dyDescent="0.35">
      <c r="A12">
        <v>20153453</v>
      </c>
      <c r="B12" s="3">
        <v>46053.379631840275</v>
      </c>
      <c r="C12" s="3">
        <v>46055.392476851855</v>
      </c>
      <c r="D12" s="3" t="str">
        <f t="shared" si="0"/>
        <v>Promoter</v>
      </c>
      <c r="E12" s="7">
        <f t="shared" si="1"/>
        <v>100</v>
      </c>
      <c r="F12">
        <v>10</v>
      </c>
      <c r="G12" s="3">
        <v>46052.739120370374</v>
      </c>
      <c r="H12" t="s">
        <v>58</v>
      </c>
      <c r="I12" t="s">
        <v>35</v>
      </c>
      <c r="J12" t="s">
        <v>48</v>
      </c>
      <c r="K12" t="s">
        <v>78</v>
      </c>
      <c r="L12" t="s">
        <v>38</v>
      </c>
      <c r="M12">
        <v>731</v>
      </c>
      <c r="N12" s="7">
        <v>24271</v>
      </c>
      <c r="O12" s="7" t="str">
        <f>IF(OR(survey_data[[#This Row],[Full Resolution Time]]&gt;$AK$4, survey_data[[#This Row],[Full Resolution Time]] &lt; survey_data[[#This Row],[Lower Bound]]), "Outlier", "Normal")</f>
        <v>Normal</v>
      </c>
      <c r="P12" s="7">
        <f>_xlfn.QUARTILE.INC(survey_data[Full Resolution Time], 1)</f>
        <v>70.5</v>
      </c>
      <c r="Q12">
        <v>10</v>
      </c>
      <c r="R12">
        <v>10</v>
      </c>
      <c r="S12">
        <v>10</v>
      </c>
      <c r="T12">
        <v>10</v>
      </c>
      <c r="U12">
        <v>10</v>
      </c>
      <c r="V12">
        <v>7</v>
      </c>
      <c r="W12">
        <v>10</v>
      </c>
      <c r="X12">
        <v>10</v>
      </c>
      <c r="Y12">
        <v>5</v>
      </c>
      <c r="Z12" t="s">
        <v>49</v>
      </c>
      <c r="AA12" t="s">
        <v>79</v>
      </c>
      <c r="AB12" t="s">
        <v>80</v>
      </c>
      <c r="AC12" s="3" t="str">
        <f t="shared" si="2"/>
        <v>07-Aug-2024</v>
      </c>
      <c r="AD12" t="s">
        <v>52</v>
      </c>
      <c r="AE12" t="s">
        <v>219</v>
      </c>
      <c r="AF12" t="s">
        <v>44</v>
      </c>
      <c r="AG12" t="s">
        <v>45</v>
      </c>
      <c r="AH12" t="s">
        <v>61</v>
      </c>
    </row>
    <row r="13" spans="1:37" x14ac:dyDescent="0.35">
      <c r="A13">
        <v>20141395</v>
      </c>
      <c r="B13" s="3">
        <v>46051.376708877317</v>
      </c>
      <c r="C13" s="3">
        <v>46055.390763888892</v>
      </c>
      <c r="D13" s="3" t="str">
        <f t="shared" si="0"/>
        <v>Passive</v>
      </c>
      <c r="E13" s="7">
        <f t="shared" si="1"/>
        <v>0</v>
      </c>
      <c r="F13">
        <v>7</v>
      </c>
      <c r="G13" s="3">
        <v>46050.752847222226</v>
      </c>
      <c r="H13" t="s">
        <v>34</v>
      </c>
      <c r="I13" t="s">
        <v>47</v>
      </c>
      <c r="J13" t="s">
        <v>48</v>
      </c>
      <c r="K13" t="s">
        <v>37</v>
      </c>
      <c r="L13" t="s">
        <v>62</v>
      </c>
      <c r="M13">
        <v>40</v>
      </c>
      <c r="N13" s="7">
        <v>58</v>
      </c>
      <c r="O13" s="7" t="str">
        <f>IF(OR(survey_data[[#This Row],[Full Resolution Time]]&gt;$AK$4, survey_data[[#This Row],[Full Resolution Time]] &lt; survey_data[[#This Row],[Lower Bound]]), "Outlier", "Normal")</f>
        <v>Outlier</v>
      </c>
      <c r="P13" s="7">
        <f>_xlfn.QUARTILE.INC(survey_data[Full Resolution Time], 1)</f>
        <v>70.5</v>
      </c>
      <c r="Q13">
        <v>9</v>
      </c>
      <c r="R13">
        <v>9</v>
      </c>
      <c r="S13">
        <v>9</v>
      </c>
      <c r="T13">
        <v>9</v>
      </c>
      <c r="U13">
        <v>9</v>
      </c>
      <c r="V13">
        <v>9</v>
      </c>
      <c r="W13">
        <v>9</v>
      </c>
      <c r="X13">
        <v>9</v>
      </c>
      <c r="Y13">
        <v>7</v>
      </c>
      <c r="Z13" t="s">
        <v>49</v>
      </c>
      <c r="AA13" t="s">
        <v>81</v>
      </c>
      <c r="AB13" t="s">
        <v>64</v>
      </c>
      <c r="AC13" s="3" t="str">
        <f t="shared" si="2"/>
        <v>17-Apr-2024</v>
      </c>
      <c r="AD13" t="s">
        <v>52</v>
      </c>
      <c r="AE13" t="s">
        <v>220</v>
      </c>
      <c r="AF13" t="s">
        <v>44</v>
      </c>
      <c r="AG13" t="s">
        <v>45</v>
      </c>
      <c r="AH13" t="s">
        <v>73</v>
      </c>
    </row>
    <row r="14" spans="1:37" x14ac:dyDescent="0.35">
      <c r="A14">
        <v>20164156</v>
      </c>
      <c r="B14" s="3">
        <v>46055.379765277779</v>
      </c>
      <c r="C14" s="3">
        <v>46055.387164351851</v>
      </c>
      <c r="D14" s="3" t="str">
        <f t="shared" si="0"/>
        <v>Promoter</v>
      </c>
      <c r="E14" s="7">
        <f t="shared" si="1"/>
        <v>100</v>
      </c>
      <c r="F14">
        <v>10</v>
      </c>
      <c r="G14" s="3">
        <v>46055.428518518522</v>
      </c>
      <c r="H14" t="s">
        <v>34</v>
      </c>
      <c r="I14" t="s">
        <v>47</v>
      </c>
      <c r="J14" t="s">
        <v>48</v>
      </c>
      <c r="K14" t="s">
        <v>37</v>
      </c>
      <c r="L14" t="s">
        <v>38</v>
      </c>
      <c r="M14">
        <v>371</v>
      </c>
      <c r="N14" s="7">
        <v>7784</v>
      </c>
      <c r="O14" s="7" t="str">
        <f>IF(OR(survey_data[[#This Row],[Full Resolution Time]]&gt;$AK$4, survey_data[[#This Row],[Full Resolution Time]] &lt; survey_data[[#This Row],[Lower Bound]]), "Outlier", "Normal")</f>
        <v>Normal</v>
      </c>
      <c r="P14" s="7">
        <f>_xlfn.QUARTILE.INC(survey_data[Full Resolution Time], 1)</f>
        <v>70.5</v>
      </c>
      <c r="Q14">
        <v>10</v>
      </c>
      <c r="R14">
        <v>10</v>
      </c>
      <c r="S14">
        <v>10</v>
      </c>
      <c r="T14">
        <v>10</v>
      </c>
      <c r="U14">
        <v>10</v>
      </c>
      <c r="V14">
        <v>10</v>
      </c>
      <c r="W14">
        <v>10</v>
      </c>
      <c r="X14">
        <v>10</v>
      </c>
      <c r="Y14">
        <v>10</v>
      </c>
      <c r="Z14" t="s">
        <v>49</v>
      </c>
      <c r="AA14" t="s">
        <v>82</v>
      </c>
      <c r="AB14" t="s">
        <v>83</v>
      </c>
      <c r="AC14" s="3" t="str">
        <f t="shared" si="2"/>
        <v>13-Sep-2024</v>
      </c>
      <c r="AD14" t="s">
        <v>52</v>
      </c>
      <c r="AE14" t="s">
        <v>220</v>
      </c>
      <c r="AF14" t="s">
        <v>44</v>
      </c>
      <c r="AG14" t="s">
        <v>45</v>
      </c>
      <c r="AH14" t="s">
        <v>65</v>
      </c>
    </row>
    <row r="15" spans="1:37" x14ac:dyDescent="0.35">
      <c r="A15">
        <v>20141095</v>
      </c>
      <c r="B15" s="3">
        <v>46051.375749502316</v>
      </c>
      <c r="C15" s="3">
        <v>46055.385138888887</v>
      </c>
      <c r="D15" s="3" t="str">
        <f t="shared" si="0"/>
        <v>Promoter</v>
      </c>
      <c r="E15" s="7">
        <f t="shared" si="1"/>
        <v>100</v>
      </c>
      <c r="F15">
        <v>10</v>
      </c>
      <c r="G15" s="3">
        <v>46051.124930555554</v>
      </c>
      <c r="H15" t="s">
        <v>54</v>
      </c>
      <c r="I15" t="s">
        <v>35</v>
      </c>
      <c r="J15" t="s">
        <v>48</v>
      </c>
      <c r="K15" t="s">
        <v>55</v>
      </c>
      <c r="L15" t="s">
        <v>62</v>
      </c>
      <c r="M15">
        <v>1</v>
      </c>
      <c r="N15" s="7">
        <v>24</v>
      </c>
      <c r="O15" s="7" t="str">
        <f>IF(OR(survey_data[[#This Row],[Full Resolution Time]]&gt;$AK$4, survey_data[[#This Row],[Full Resolution Time]] &lt; survey_data[[#This Row],[Lower Bound]]), "Outlier", "Normal")</f>
        <v>Outlier</v>
      </c>
      <c r="P15" s="7">
        <f>_xlfn.QUARTILE.INC(survey_data[Full Resolution Time], 1)</f>
        <v>70.5</v>
      </c>
      <c r="Q15">
        <v>10</v>
      </c>
      <c r="R15">
        <v>10</v>
      </c>
      <c r="S15">
        <v>10</v>
      </c>
      <c r="T15">
        <v>10</v>
      </c>
      <c r="U15">
        <v>10</v>
      </c>
      <c r="V15">
        <v>10</v>
      </c>
      <c r="W15">
        <v>10</v>
      </c>
      <c r="X15">
        <v>10</v>
      </c>
      <c r="Y15">
        <v>10</v>
      </c>
      <c r="Z15" t="s">
        <v>49</v>
      </c>
      <c r="AA15" t="s">
        <v>56</v>
      </c>
      <c r="AB15" t="s">
        <v>57</v>
      </c>
      <c r="AC15" s="3" t="str">
        <f t="shared" si="2"/>
        <v>02-Nov-2020</v>
      </c>
      <c r="AD15" t="s">
        <v>52</v>
      </c>
      <c r="AE15" t="s">
        <v>219</v>
      </c>
      <c r="AF15" t="s">
        <v>44</v>
      </c>
      <c r="AG15" t="s">
        <v>45</v>
      </c>
      <c r="AH15" t="s">
        <v>53</v>
      </c>
    </row>
    <row r="16" spans="1:37" x14ac:dyDescent="0.35">
      <c r="A16">
        <v>20142165</v>
      </c>
      <c r="B16" s="3">
        <v>46051.379165740742</v>
      </c>
      <c r="C16" s="3">
        <v>46055.383171296293</v>
      </c>
      <c r="D16" s="3" t="str">
        <f t="shared" si="0"/>
        <v>Promoter</v>
      </c>
      <c r="E16" s="7">
        <f t="shared" si="1"/>
        <v>100</v>
      </c>
      <c r="F16">
        <v>10</v>
      </c>
      <c r="G16" s="3">
        <v>46050.751493055555</v>
      </c>
      <c r="H16" t="s">
        <v>34</v>
      </c>
      <c r="I16" t="s">
        <v>35</v>
      </c>
      <c r="J16" t="s">
        <v>4</v>
      </c>
      <c r="K16" t="s">
        <v>69</v>
      </c>
      <c r="L16" t="s">
        <v>38</v>
      </c>
      <c r="M16">
        <v>430</v>
      </c>
      <c r="N16" s="7">
        <v>24625</v>
      </c>
      <c r="O16" s="7" t="str">
        <f>IF(OR(survey_data[[#This Row],[Full Resolution Time]]&gt;$AK$4, survey_data[[#This Row],[Full Resolution Time]] &lt; survey_data[[#This Row],[Lower Bound]]), "Outlier", "Normal")</f>
        <v>Normal</v>
      </c>
      <c r="P16" s="7">
        <f>_xlfn.QUARTILE.INC(survey_data[Full Resolution Time], 1)</f>
        <v>70.5</v>
      </c>
      <c r="Q16">
        <v>10</v>
      </c>
      <c r="R16">
        <v>10</v>
      </c>
      <c r="S16">
        <v>10</v>
      </c>
      <c r="T16">
        <v>10</v>
      </c>
      <c r="U16">
        <v>10</v>
      </c>
      <c r="V16">
        <v>10</v>
      </c>
      <c r="W16">
        <v>10</v>
      </c>
      <c r="X16">
        <v>10</v>
      </c>
      <c r="Y16">
        <v>10</v>
      </c>
      <c r="Z16" t="s">
        <v>49</v>
      </c>
      <c r="AA16" t="s">
        <v>84</v>
      </c>
      <c r="AB16" t="s">
        <v>72</v>
      </c>
      <c r="AC16" s="3" t="str">
        <f t="shared" si="2"/>
        <v>10-Jun-2025</v>
      </c>
      <c r="AD16" t="s">
        <v>52</v>
      </c>
      <c r="AE16" t="s">
        <v>219</v>
      </c>
      <c r="AF16" t="s">
        <v>85</v>
      </c>
      <c r="AG16" t="s">
        <v>45</v>
      </c>
      <c r="AH16" t="s">
        <v>86</v>
      </c>
    </row>
    <row r="17" spans="1:34" x14ac:dyDescent="0.35">
      <c r="A17">
        <v>20163752</v>
      </c>
      <c r="B17" s="3">
        <v>46055.378477013888</v>
      </c>
      <c r="C17" s="3">
        <v>46055.383020833331</v>
      </c>
      <c r="D17" s="3" t="str">
        <f t="shared" si="0"/>
        <v>Detractor</v>
      </c>
      <c r="E17" s="7">
        <f t="shared" si="1"/>
        <v>-100</v>
      </c>
      <c r="F17">
        <v>5</v>
      </c>
      <c r="G17" s="3">
        <v>46055.097916666666</v>
      </c>
      <c r="H17" t="s">
        <v>34</v>
      </c>
      <c r="I17" t="s">
        <v>35</v>
      </c>
      <c r="J17" t="s">
        <v>48</v>
      </c>
      <c r="K17" t="s">
        <v>69</v>
      </c>
      <c r="L17" t="s">
        <v>62</v>
      </c>
      <c r="M17">
        <v>45</v>
      </c>
      <c r="N17" s="7">
        <v>77</v>
      </c>
      <c r="O17" s="7" t="str">
        <f>IF(OR(survey_data[[#This Row],[Full Resolution Time]]&gt;$AK$4, survey_data[[#This Row],[Full Resolution Time]] &lt; survey_data[[#This Row],[Lower Bound]]), "Outlier", "Normal")</f>
        <v>Normal</v>
      </c>
      <c r="P17" s="7">
        <f>_xlfn.QUARTILE.INC(survey_data[Full Resolution Time], 1)</f>
        <v>70.5</v>
      </c>
      <c r="Q17">
        <v>10</v>
      </c>
      <c r="R17">
        <v>10</v>
      </c>
      <c r="S17">
        <v>10</v>
      </c>
      <c r="T17">
        <v>10</v>
      </c>
      <c r="U17">
        <v>10</v>
      </c>
      <c r="V17">
        <v>10</v>
      </c>
      <c r="W17">
        <v>10</v>
      </c>
      <c r="X17">
        <v>10</v>
      </c>
      <c r="Y17">
        <v>5</v>
      </c>
      <c r="Z17" t="s">
        <v>49</v>
      </c>
      <c r="AA17" t="s">
        <v>87</v>
      </c>
      <c r="AB17" t="s">
        <v>88</v>
      </c>
      <c r="AC17" s="3" t="str">
        <f t="shared" si="2"/>
        <v>10-Sep-2024</v>
      </c>
      <c r="AD17" t="s">
        <v>52</v>
      </c>
      <c r="AE17" t="s">
        <v>219</v>
      </c>
      <c r="AF17" t="s">
        <v>44</v>
      </c>
      <c r="AG17" t="s">
        <v>45</v>
      </c>
      <c r="AH17" t="s">
        <v>65</v>
      </c>
    </row>
    <row r="18" spans="1:34" x14ac:dyDescent="0.35">
      <c r="A18">
        <v>20163586</v>
      </c>
      <c r="B18" s="3">
        <v>46055.377974178242</v>
      </c>
      <c r="C18" s="3">
        <v>46055.3828587963</v>
      </c>
      <c r="D18" s="3" t="str">
        <f t="shared" si="0"/>
        <v>Promoter</v>
      </c>
      <c r="E18" s="7">
        <f t="shared" si="1"/>
        <v>100</v>
      </c>
      <c r="F18">
        <v>10</v>
      </c>
      <c r="G18" s="3">
        <v>46054.997361111113</v>
      </c>
      <c r="H18" t="s">
        <v>34</v>
      </c>
      <c r="I18" t="s">
        <v>35</v>
      </c>
      <c r="J18" t="s">
        <v>48</v>
      </c>
      <c r="K18" t="s">
        <v>55</v>
      </c>
      <c r="L18" t="s">
        <v>62</v>
      </c>
      <c r="M18">
        <v>5</v>
      </c>
      <c r="N18" s="7">
        <v>59</v>
      </c>
      <c r="O18" s="7" t="str">
        <f>IF(OR(survey_data[[#This Row],[Full Resolution Time]]&gt;$AK$4, survey_data[[#This Row],[Full Resolution Time]] &lt; survey_data[[#This Row],[Lower Bound]]), "Outlier", "Normal")</f>
        <v>Outlier</v>
      </c>
      <c r="P18" s="7">
        <f>_xlfn.QUARTILE.INC(survey_data[Full Resolution Time], 1)</f>
        <v>70.5</v>
      </c>
      <c r="Q18">
        <v>10</v>
      </c>
      <c r="R18">
        <v>10</v>
      </c>
      <c r="S18">
        <v>10</v>
      </c>
      <c r="T18">
        <v>10</v>
      </c>
      <c r="U18">
        <v>10</v>
      </c>
      <c r="V18">
        <v>10</v>
      </c>
      <c r="W18">
        <v>10</v>
      </c>
      <c r="X18">
        <v>10</v>
      </c>
      <c r="Y18">
        <v>10</v>
      </c>
      <c r="Z18" t="s">
        <v>49</v>
      </c>
      <c r="AA18" t="s">
        <v>89</v>
      </c>
      <c r="AB18" t="s">
        <v>90</v>
      </c>
      <c r="AC18" s="3" t="str">
        <f t="shared" si="2"/>
        <v>31-Jul-2023</v>
      </c>
      <c r="AD18" t="s">
        <v>52</v>
      </c>
      <c r="AE18" t="s">
        <v>220</v>
      </c>
      <c r="AF18" t="s">
        <v>44</v>
      </c>
      <c r="AG18" t="s">
        <v>45</v>
      </c>
      <c r="AH18" t="s">
        <v>53</v>
      </c>
    </row>
    <row r="19" spans="1:34" x14ac:dyDescent="0.35">
      <c r="A19">
        <v>20164091</v>
      </c>
      <c r="B19" s="3">
        <v>46055.379564733797</v>
      </c>
      <c r="C19" s="3">
        <v>46055.380486111113</v>
      </c>
      <c r="D19" s="3" t="str">
        <f t="shared" si="0"/>
        <v>Promoter</v>
      </c>
      <c r="E19" s="7">
        <f t="shared" si="1"/>
        <v>100</v>
      </c>
      <c r="F19">
        <v>9</v>
      </c>
      <c r="G19" s="3">
        <v>46054.835462962961</v>
      </c>
      <c r="H19" t="s">
        <v>34</v>
      </c>
      <c r="I19" t="s">
        <v>35</v>
      </c>
      <c r="J19" t="s">
        <v>48</v>
      </c>
      <c r="K19" t="s">
        <v>55</v>
      </c>
      <c r="L19" t="s">
        <v>62</v>
      </c>
      <c r="M19">
        <v>63</v>
      </c>
      <c r="N19" s="7">
        <v>95</v>
      </c>
      <c r="O19" s="7" t="str">
        <f>IF(OR(survey_data[[#This Row],[Full Resolution Time]]&gt;$AK$4, survey_data[[#This Row],[Full Resolution Time]] &lt; survey_data[[#This Row],[Lower Bound]]), "Outlier", "Normal")</f>
        <v>Normal</v>
      </c>
      <c r="P19" s="7">
        <f>_xlfn.QUARTILE.INC(survey_data[Full Resolution Time], 1)</f>
        <v>70.5</v>
      </c>
      <c r="Q19">
        <v>9</v>
      </c>
      <c r="R19">
        <v>9</v>
      </c>
      <c r="S19">
        <v>9</v>
      </c>
      <c r="T19">
        <v>9</v>
      </c>
      <c r="U19">
        <v>9</v>
      </c>
      <c r="V19">
        <v>9</v>
      </c>
      <c r="W19">
        <v>9</v>
      </c>
      <c r="X19">
        <v>9</v>
      </c>
      <c r="Y19">
        <v>9</v>
      </c>
      <c r="Z19" t="s">
        <v>49</v>
      </c>
      <c r="AA19" t="s">
        <v>91</v>
      </c>
      <c r="AB19" t="s">
        <v>92</v>
      </c>
      <c r="AC19" s="3" t="str">
        <f t="shared" si="2"/>
        <v>14-Oct-2024</v>
      </c>
      <c r="AD19" t="s">
        <v>52</v>
      </c>
      <c r="AE19" t="s">
        <v>219</v>
      </c>
      <c r="AF19" t="s">
        <v>44</v>
      </c>
      <c r="AG19" t="s">
        <v>45</v>
      </c>
      <c r="AH19" t="s">
        <v>53</v>
      </c>
    </row>
    <row r="20" spans="1:34" x14ac:dyDescent="0.35">
      <c r="A20">
        <v>20163317</v>
      </c>
      <c r="B20" s="3">
        <v>46055.377097824072</v>
      </c>
      <c r="C20" s="3">
        <v>46055.380104166667</v>
      </c>
      <c r="D20" s="3" t="str">
        <f t="shared" si="0"/>
        <v>Promoter</v>
      </c>
      <c r="E20" s="7">
        <f t="shared" si="1"/>
        <v>100</v>
      </c>
      <c r="F20">
        <v>10</v>
      </c>
      <c r="G20" s="3">
        <v>46055.705995370372</v>
      </c>
      <c r="H20" t="s">
        <v>34</v>
      </c>
      <c r="I20" t="s">
        <v>35</v>
      </c>
      <c r="J20" t="s">
        <v>4</v>
      </c>
      <c r="K20" t="s">
        <v>69</v>
      </c>
      <c r="L20" t="s">
        <v>38</v>
      </c>
      <c r="M20">
        <v>73</v>
      </c>
      <c r="N20" s="7">
        <v>182</v>
      </c>
      <c r="O20" s="7" t="str">
        <f>IF(OR(survey_data[[#This Row],[Full Resolution Time]]&gt;$AK$4, survey_data[[#This Row],[Full Resolution Time]] &lt; survey_data[[#This Row],[Lower Bound]]), "Outlier", "Normal")</f>
        <v>Normal</v>
      </c>
      <c r="P20" s="7">
        <f>_xlfn.QUARTILE.INC(survey_data[Full Resolution Time], 1)</f>
        <v>70.5</v>
      </c>
      <c r="Q20">
        <v>10</v>
      </c>
      <c r="R20">
        <v>10</v>
      </c>
      <c r="S20">
        <v>10</v>
      </c>
      <c r="T20">
        <v>10</v>
      </c>
      <c r="U20">
        <v>10</v>
      </c>
      <c r="V20">
        <v>10</v>
      </c>
      <c r="W20">
        <v>10</v>
      </c>
      <c r="X20">
        <v>10</v>
      </c>
      <c r="Y20">
        <v>10</v>
      </c>
      <c r="Z20" t="s">
        <v>49</v>
      </c>
      <c r="AA20" t="s">
        <v>93</v>
      </c>
      <c r="AB20" t="s">
        <v>94</v>
      </c>
      <c r="AC20" s="3" t="str">
        <f t="shared" si="2"/>
        <v>02-Aug-2021</v>
      </c>
      <c r="AD20" t="s">
        <v>52</v>
      </c>
      <c r="AE20" t="s">
        <v>220</v>
      </c>
      <c r="AF20" t="s">
        <v>44</v>
      </c>
      <c r="AG20" t="s">
        <v>45</v>
      </c>
      <c r="AH20" t="s">
        <v>65</v>
      </c>
    </row>
    <row r="21" spans="1:34" x14ac:dyDescent="0.35">
      <c r="A21">
        <v>20162430</v>
      </c>
      <c r="B21" s="3">
        <v>46055.327448634256</v>
      </c>
      <c r="C21" s="3">
        <v>46055.328032407408</v>
      </c>
      <c r="D21" s="3" t="str">
        <f t="shared" si="0"/>
        <v>Promoter</v>
      </c>
      <c r="E21" s="7">
        <f t="shared" si="1"/>
        <v>100</v>
      </c>
      <c r="F21">
        <v>10</v>
      </c>
      <c r="G21" s="3">
        <v>46055.375717592593</v>
      </c>
      <c r="H21" t="s">
        <v>34</v>
      </c>
      <c r="I21" t="s">
        <v>35</v>
      </c>
      <c r="J21" t="s">
        <v>95</v>
      </c>
      <c r="K21" t="s">
        <v>69</v>
      </c>
      <c r="L21" t="s">
        <v>38</v>
      </c>
      <c r="M21">
        <v>55</v>
      </c>
      <c r="N21" s="7">
        <v>55</v>
      </c>
      <c r="O21" s="7" t="str">
        <f>IF(OR(survey_data[[#This Row],[Full Resolution Time]]&gt;$AK$4, survey_data[[#This Row],[Full Resolution Time]] &lt; survey_data[[#This Row],[Lower Bound]]), "Outlier", "Normal")</f>
        <v>Outlier</v>
      </c>
      <c r="P21" s="7">
        <f>_xlfn.QUARTILE.INC(survey_data[Full Resolution Time], 1)</f>
        <v>70.5</v>
      </c>
      <c r="Q21">
        <v>10</v>
      </c>
      <c r="R21">
        <v>10</v>
      </c>
      <c r="S21">
        <v>10</v>
      </c>
      <c r="T21">
        <v>10</v>
      </c>
      <c r="U21">
        <v>10</v>
      </c>
      <c r="V21">
        <v>10</v>
      </c>
      <c r="W21">
        <v>10</v>
      </c>
      <c r="X21">
        <v>10</v>
      </c>
      <c r="Y21">
        <v>10</v>
      </c>
      <c r="Z21" t="s">
        <v>49</v>
      </c>
      <c r="AA21" t="s">
        <v>96</v>
      </c>
      <c r="AB21" t="s">
        <v>97</v>
      </c>
      <c r="AC21" s="3" t="str">
        <f t="shared" si="2"/>
        <v>02-Jun-2025</v>
      </c>
      <c r="AD21" t="s">
        <v>52</v>
      </c>
      <c r="AE21" t="s">
        <v>220</v>
      </c>
      <c r="AF21" t="s">
        <v>44</v>
      </c>
      <c r="AG21" t="s">
        <v>45</v>
      </c>
      <c r="AH21" t="s">
        <v>61</v>
      </c>
    </row>
    <row r="22" spans="1:34" x14ac:dyDescent="0.35">
      <c r="A22">
        <v>20162350</v>
      </c>
      <c r="B22" s="3">
        <v>46055.315610057871</v>
      </c>
      <c r="C22" s="3">
        <v>46055.315601851849</v>
      </c>
      <c r="D22" s="3" t="str">
        <f t="shared" si="0"/>
        <v>Promoter</v>
      </c>
      <c r="E22" s="7">
        <f t="shared" si="1"/>
        <v>100</v>
      </c>
      <c r="F22">
        <v>10</v>
      </c>
      <c r="G22" s="3">
        <v>46055.546168981484</v>
      </c>
      <c r="H22" t="s">
        <v>34</v>
      </c>
      <c r="I22" t="s">
        <v>35</v>
      </c>
      <c r="J22" t="s">
        <v>95</v>
      </c>
      <c r="K22" t="s">
        <v>69</v>
      </c>
      <c r="L22" t="s">
        <v>38</v>
      </c>
      <c r="M22">
        <v>545</v>
      </c>
      <c r="N22" s="7">
        <v>1005</v>
      </c>
      <c r="O22" s="7" t="str">
        <f>IF(OR(survey_data[[#This Row],[Full Resolution Time]]&gt;$AK$4, survey_data[[#This Row],[Full Resolution Time]] &lt; survey_data[[#This Row],[Lower Bound]]), "Outlier", "Normal")</f>
        <v>Normal</v>
      </c>
      <c r="P22" s="7">
        <f>_xlfn.QUARTILE.INC(survey_data[Full Resolution Time], 1)</f>
        <v>70.5</v>
      </c>
      <c r="Q22">
        <v>10</v>
      </c>
      <c r="R22">
        <v>10</v>
      </c>
      <c r="S22">
        <v>10</v>
      </c>
      <c r="T22">
        <v>10</v>
      </c>
      <c r="U22">
        <v>10</v>
      </c>
      <c r="V22">
        <v>10</v>
      </c>
      <c r="W22">
        <v>10</v>
      </c>
      <c r="X22">
        <v>10</v>
      </c>
      <c r="Y22">
        <v>10</v>
      </c>
      <c r="Z22" t="s">
        <v>49</v>
      </c>
      <c r="AA22" t="s">
        <v>98</v>
      </c>
      <c r="AB22" t="s">
        <v>99</v>
      </c>
      <c r="AC22" s="3" t="str">
        <f t="shared" si="2"/>
        <v>24-Sep-2024</v>
      </c>
      <c r="AD22" t="s">
        <v>52</v>
      </c>
      <c r="AE22" t="s">
        <v>219</v>
      </c>
      <c r="AF22" t="s">
        <v>44</v>
      </c>
      <c r="AG22" t="s">
        <v>45</v>
      </c>
      <c r="AH22" t="s">
        <v>61</v>
      </c>
    </row>
    <row r="23" spans="1:34" x14ac:dyDescent="0.35">
      <c r="A23">
        <v>20158240</v>
      </c>
      <c r="B23" s="3">
        <v>46054.378426481482</v>
      </c>
      <c r="C23" s="3">
        <v>46055.247337962966</v>
      </c>
      <c r="D23" s="3" t="str">
        <f t="shared" si="0"/>
        <v>Detractor</v>
      </c>
      <c r="E23" s="7">
        <f t="shared" si="1"/>
        <v>-100</v>
      </c>
      <c r="F23">
        <v>0</v>
      </c>
      <c r="G23" s="3">
        <v>46054.372476851851</v>
      </c>
      <c r="H23" t="s">
        <v>54</v>
      </c>
      <c r="I23" t="s">
        <v>35</v>
      </c>
      <c r="J23" t="s">
        <v>4</v>
      </c>
      <c r="K23" t="s">
        <v>55</v>
      </c>
      <c r="L23" t="s">
        <v>38</v>
      </c>
      <c r="M23">
        <v>1306</v>
      </c>
      <c r="N23" s="7">
        <v>9006</v>
      </c>
      <c r="O23" s="7" t="str">
        <f>IF(OR(survey_data[[#This Row],[Full Resolution Time]]&gt;$AK$4, survey_data[[#This Row],[Full Resolution Time]] &lt; survey_data[[#This Row],[Lower Bound]]), "Outlier", "Normal")</f>
        <v>Normal</v>
      </c>
      <c r="P23" s="7">
        <f>_xlfn.QUARTILE.INC(survey_data[Full Resolution Time], 1)</f>
        <v>70.5</v>
      </c>
      <c r="Q23">
        <v>0</v>
      </c>
      <c r="R23">
        <v>5</v>
      </c>
      <c r="S23">
        <v>0</v>
      </c>
      <c r="T23">
        <v>0</v>
      </c>
      <c r="U23">
        <v>5</v>
      </c>
      <c r="V23">
        <v>0</v>
      </c>
      <c r="W23">
        <v>5</v>
      </c>
      <c r="X23">
        <v>0</v>
      </c>
      <c r="Y23">
        <v>0</v>
      </c>
      <c r="Z23" t="s">
        <v>100</v>
      </c>
      <c r="AA23" t="s">
        <v>101</v>
      </c>
      <c r="AB23" t="s">
        <v>102</v>
      </c>
      <c r="AC23" s="3" t="str">
        <f t="shared" si="2"/>
        <v>23-May-2023</v>
      </c>
      <c r="AD23" t="s">
        <v>52</v>
      </c>
      <c r="AE23" t="s">
        <v>220</v>
      </c>
      <c r="AF23" t="s">
        <v>44</v>
      </c>
      <c r="AG23" t="s">
        <v>45</v>
      </c>
      <c r="AH23" t="s">
        <v>73</v>
      </c>
    </row>
    <row r="24" spans="1:34" x14ac:dyDescent="0.35">
      <c r="A24">
        <v>20157430</v>
      </c>
      <c r="B24" s="3">
        <v>46054.375735624999</v>
      </c>
      <c r="C24" s="3">
        <v>46055.244988425926</v>
      </c>
      <c r="D24" s="3" t="str">
        <f t="shared" si="0"/>
        <v>Promoter</v>
      </c>
      <c r="E24" s="7">
        <f t="shared" si="1"/>
        <v>100</v>
      </c>
      <c r="F24">
        <v>10</v>
      </c>
      <c r="G24" s="3">
        <v>46054.375856481478</v>
      </c>
      <c r="H24" t="s">
        <v>34</v>
      </c>
      <c r="I24" t="s">
        <v>35</v>
      </c>
      <c r="J24" t="s">
        <v>4</v>
      </c>
      <c r="K24" t="s">
        <v>69</v>
      </c>
      <c r="L24" t="s">
        <v>62</v>
      </c>
      <c r="M24">
        <v>72</v>
      </c>
      <c r="N24" s="7">
        <v>13271</v>
      </c>
      <c r="O24" s="7" t="str">
        <f>IF(OR(survey_data[[#This Row],[Full Resolution Time]]&gt;$AK$4, survey_data[[#This Row],[Full Resolution Time]] &lt; survey_data[[#This Row],[Lower Bound]]), "Outlier", "Normal")</f>
        <v>Normal</v>
      </c>
      <c r="P24" s="7">
        <f>_xlfn.QUARTILE.INC(survey_data[Full Resolution Time], 1)</f>
        <v>70.5</v>
      </c>
      <c r="Q24">
        <v>5</v>
      </c>
      <c r="R24">
        <v>5</v>
      </c>
      <c r="S24">
        <v>5</v>
      </c>
      <c r="T24">
        <v>5</v>
      </c>
      <c r="U24">
        <v>5</v>
      </c>
      <c r="V24">
        <v>2</v>
      </c>
      <c r="W24">
        <v>5</v>
      </c>
      <c r="X24">
        <v>1</v>
      </c>
      <c r="Y24">
        <v>0</v>
      </c>
      <c r="Z24" t="s">
        <v>100</v>
      </c>
      <c r="AA24" t="s">
        <v>103</v>
      </c>
      <c r="AB24" t="s">
        <v>104</v>
      </c>
      <c r="AC24" s="3" t="str">
        <f t="shared" si="2"/>
        <v>14-Aug-2025</v>
      </c>
      <c r="AD24" t="s">
        <v>52</v>
      </c>
      <c r="AE24" t="s">
        <v>220</v>
      </c>
      <c r="AF24" t="s">
        <v>85</v>
      </c>
      <c r="AG24" t="s">
        <v>45</v>
      </c>
      <c r="AH24" t="s">
        <v>86</v>
      </c>
    </row>
    <row r="25" spans="1:34" x14ac:dyDescent="0.35">
      <c r="A25">
        <v>20136931</v>
      </c>
      <c r="B25" s="3">
        <v>46050.380451886573</v>
      </c>
      <c r="C25" s="3">
        <v>46055.238645833335</v>
      </c>
      <c r="D25" s="3" t="str">
        <f t="shared" si="0"/>
        <v>Detractor</v>
      </c>
      <c r="E25" s="7">
        <f t="shared" si="1"/>
        <v>-100</v>
      </c>
      <c r="F25">
        <v>5</v>
      </c>
      <c r="G25" s="3">
        <v>46050.001921296294</v>
      </c>
      <c r="H25" t="s">
        <v>58</v>
      </c>
      <c r="I25" t="s">
        <v>35</v>
      </c>
      <c r="J25" t="s">
        <v>48</v>
      </c>
      <c r="K25" t="s">
        <v>37</v>
      </c>
      <c r="L25" t="s">
        <v>38</v>
      </c>
      <c r="M25">
        <v>328</v>
      </c>
      <c r="N25" s="7">
        <v>17793</v>
      </c>
      <c r="O25" s="7" t="str">
        <f>IF(OR(survey_data[[#This Row],[Full Resolution Time]]&gt;$AK$4, survey_data[[#This Row],[Full Resolution Time]] &lt; survey_data[[#This Row],[Lower Bound]]), "Outlier", "Normal")</f>
        <v>Normal</v>
      </c>
      <c r="P25" s="7">
        <f>_xlfn.QUARTILE.INC(survey_data[Full Resolution Time], 1)</f>
        <v>70.5</v>
      </c>
      <c r="Q25">
        <v>5</v>
      </c>
      <c r="R25">
        <v>6</v>
      </c>
      <c r="S25">
        <v>8</v>
      </c>
      <c r="T25">
        <v>5</v>
      </c>
      <c r="U25">
        <v>5</v>
      </c>
      <c r="V25">
        <v>4</v>
      </c>
      <c r="W25">
        <v>7</v>
      </c>
      <c r="X25">
        <v>4</v>
      </c>
      <c r="Y25">
        <v>0</v>
      </c>
      <c r="Z25" t="s">
        <v>40</v>
      </c>
      <c r="AA25" t="s">
        <v>105</v>
      </c>
      <c r="AB25" t="s">
        <v>106</v>
      </c>
      <c r="AC25" s="3" t="str">
        <f t="shared" si="2"/>
        <v>04-Sep-2024</v>
      </c>
      <c r="AD25" t="s">
        <v>52</v>
      </c>
      <c r="AE25" t="s">
        <v>220</v>
      </c>
      <c r="AF25" t="s">
        <v>85</v>
      </c>
      <c r="AG25" t="s">
        <v>45</v>
      </c>
      <c r="AH25" t="s">
        <v>86</v>
      </c>
    </row>
    <row r="26" spans="1:34" x14ac:dyDescent="0.35">
      <c r="A26">
        <v>20161833</v>
      </c>
      <c r="B26" s="3">
        <v>46055.225441655093</v>
      </c>
      <c r="C26" s="3">
        <v>46055.226273148146</v>
      </c>
      <c r="D26" s="3" t="str">
        <f t="shared" si="0"/>
        <v>Promoter</v>
      </c>
      <c r="E26" s="7">
        <f t="shared" si="1"/>
        <v>100</v>
      </c>
      <c r="F26">
        <v>10</v>
      </c>
      <c r="G26" s="3">
        <v>46055.557870370372</v>
      </c>
      <c r="H26" t="s">
        <v>34</v>
      </c>
      <c r="I26" t="s">
        <v>35</v>
      </c>
      <c r="J26" t="s">
        <v>95</v>
      </c>
      <c r="K26" t="s">
        <v>69</v>
      </c>
      <c r="L26" t="s">
        <v>38</v>
      </c>
      <c r="M26">
        <v>23</v>
      </c>
      <c r="N26" s="7">
        <v>24</v>
      </c>
      <c r="O26" s="7" t="str">
        <f>IF(OR(survey_data[[#This Row],[Full Resolution Time]]&gt;$AK$4, survey_data[[#This Row],[Full Resolution Time]] &lt; survey_data[[#This Row],[Lower Bound]]), "Outlier", "Normal")</f>
        <v>Outlier</v>
      </c>
      <c r="P26" s="7">
        <f>_xlfn.QUARTILE.INC(survey_data[Full Resolution Time], 1)</f>
        <v>70.5</v>
      </c>
      <c r="Q26">
        <v>10</v>
      </c>
      <c r="R26">
        <v>10</v>
      </c>
      <c r="S26">
        <v>10</v>
      </c>
      <c r="T26">
        <v>10</v>
      </c>
      <c r="U26">
        <v>10</v>
      </c>
      <c r="V26">
        <v>10</v>
      </c>
      <c r="W26">
        <v>10</v>
      </c>
      <c r="X26">
        <v>10</v>
      </c>
      <c r="Y26">
        <v>10</v>
      </c>
      <c r="Z26" t="s">
        <v>49</v>
      </c>
      <c r="AA26" t="s">
        <v>107</v>
      </c>
      <c r="AB26" t="s">
        <v>83</v>
      </c>
      <c r="AC26" s="3" t="str">
        <f t="shared" si="2"/>
        <v>13-Sep-2024</v>
      </c>
      <c r="AD26" t="s">
        <v>52</v>
      </c>
      <c r="AE26" t="s">
        <v>220</v>
      </c>
      <c r="AF26" t="s">
        <v>44</v>
      </c>
      <c r="AG26" t="s">
        <v>45</v>
      </c>
      <c r="AH26" t="s">
        <v>73</v>
      </c>
    </row>
    <row r="27" spans="1:34" x14ac:dyDescent="0.35">
      <c r="A27">
        <v>20152414</v>
      </c>
      <c r="B27" s="3">
        <v>46053.376192025462</v>
      </c>
      <c r="C27" s="3">
        <v>46055.224039351851</v>
      </c>
      <c r="D27" s="3" t="str">
        <f t="shared" si="0"/>
        <v>Promoter</v>
      </c>
      <c r="E27" s="7">
        <f t="shared" si="1"/>
        <v>100</v>
      </c>
      <c r="F27">
        <v>10</v>
      </c>
      <c r="G27" s="3">
        <v>46053.52171296296</v>
      </c>
      <c r="H27" t="s">
        <v>58</v>
      </c>
      <c r="I27" t="s">
        <v>35</v>
      </c>
      <c r="J27" t="s">
        <v>4</v>
      </c>
      <c r="K27" t="s">
        <v>69</v>
      </c>
      <c r="L27" t="s">
        <v>38</v>
      </c>
      <c r="M27">
        <v>549</v>
      </c>
      <c r="N27" s="7">
        <v>5312</v>
      </c>
      <c r="O27" s="7" t="str">
        <f>IF(OR(survey_data[[#This Row],[Full Resolution Time]]&gt;$AK$4, survey_data[[#This Row],[Full Resolution Time]] &lt; survey_data[[#This Row],[Lower Bound]]), "Outlier", "Normal")</f>
        <v>Normal</v>
      </c>
      <c r="P27" s="7">
        <f>_xlfn.QUARTILE.INC(survey_data[Full Resolution Time], 1)</f>
        <v>70.5</v>
      </c>
      <c r="Q27">
        <v>10</v>
      </c>
      <c r="R27">
        <v>10</v>
      </c>
      <c r="S27">
        <v>10</v>
      </c>
      <c r="T27">
        <v>10</v>
      </c>
      <c r="U27">
        <v>10</v>
      </c>
      <c r="V27">
        <v>10</v>
      </c>
      <c r="W27">
        <v>10</v>
      </c>
      <c r="X27">
        <v>10</v>
      </c>
      <c r="Y27">
        <v>10</v>
      </c>
      <c r="Z27" t="s">
        <v>49</v>
      </c>
      <c r="AA27" t="s">
        <v>108</v>
      </c>
      <c r="AB27" t="s">
        <v>109</v>
      </c>
      <c r="AC27" s="3" t="str">
        <f t="shared" si="2"/>
        <v>20-Nov-2023</v>
      </c>
      <c r="AD27" t="s">
        <v>52</v>
      </c>
      <c r="AE27" t="s">
        <v>219</v>
      </c>
      <c r="AF27" t="s">
        <v>44</v>
      </c>
      <c r="AG27" t="s">
        <v>45</v>
      </c>
      <c r="AH27" t="s">
        <v>61</v>
      </c>
    </row>
    <row r="28" spans="1:34" x14ac:dyDescent="0.35">
      <c r="A28">
        <v>20161700</v>
      </c>
      <c r="B28" s="3">
        <v>46055.202982754628</v>
      </c>
      <c r="C28" s="3">
        <v>46055.20721064815</v>
      </c>
      <c r="D28" s="3" t="str">
        <f t="shared" si="0"/>
        <v>Passive</v>
      </c>
      <c r="E28" s="7">
        <f t="shared" si="1"/>
        <v>0</v>
      </c>
      <c r="F28">
        <v>8</v>
      </c>
      <c r="G28" s="3">
        <v>46054.916944444441</v>
      </c>
      <c r="H28" t="s">
        <v>34</v>
      </c>
      <c r="I28" t="s">
        <v>35</v>
      </c>
      <c r="J28" t="s">
        <v>95</v>
      </c>
      <c r="K28" t="s">
        <v>110</v>
      </c>
      <c r="L28" t="s">
        <v>38</v>
      </c>
      <c r="M28">
        <v>122</v>
      </c>
      <c r="N28" s="7">
        <v>155</v>
      </c>
      <c r="O28" s="7" t="str">
        <f>IF(OR(survey_data[[#This Row],[Full Resolution Time]]&gt;$AK$4, survey_data[[#This Row],[Full Resolution Time]] &lt; survey_data[[#This Row],[Lower Bound]]), "Outlier", "Normal")</f>
        <v>Normal</v>
      </c>
      <c r="P28" s="7">
        <f>_xlfn.QUARTILE.INC(survey_data[Full Resolution Time], 1)</f>
        <v>70.5</v>
      </c>
      <c r="Q28">
        <v>8</v>
      </c>
      <c r="R28">
        <v>9</v>
      </c>
      <c r="S28">
        <v>9</v>
      </c>
      <c r="T28">
        <v>8</v>
      </c>
      <c r="U28">
        <v>8</v>
      </c>
      <c r="V28">
        <v>8</v>
      </c>
      <c r="W28">
        <v>9</v>
      </c>
      <c r="X28">
        <v>7</v>
      </c>
      <c r="Y28">
        <v>4</v>
      </c>
      <c r="Z28" t="s">
        <v>40</v>
      </c>
      <c r="AA28" t="s">
        <v>111</v>
      </c>
      <c r="AB28" t="s">
        <v>112</v>
      </c>
      <c r="AC28" s="3" t="str">
        <f t="shared" si="2"/>
        <v>04-Dec-2024</v>
      </c>
      <c r="AD28" t="s">
        <v>52</v>
      </c>
      <c r="AE28" t="s">
        <v>219</v>
      </c>
      <c r="AF28" t="s">
        <v>44</v>
      </c>
      <c r="AG28" t="s">
        <v>45</v>
      </c>
      <c r="AH28" t="s">
        <v>61</v>
      </c>
    </row>
    <row r="29" spans="1:34" x14ac:dyDescent="0.35">
      <c r="A29">
        <v>20161673</v>
      </c>
      <c r="B29" s="3">
        <v>46055.190464432868</v>
      </c>
      <c r="C29" s="3">
        <v>46055.19023148148</v>
      </c>
      <c r="D29" s="3" t="str">
        <f t="shared" si="0"/>
        <v>Detractor</v>
      </c>
      <c r="E29" s="7">
        <f t="shared" si="1"/>
        <v>-100</v>
      </c>
      <c r="F29">
        <v>0</v>
      </c>
      <c r="G29" s="3">
        <v>46055.523101851853</v>
      </c>
      <c r="H29" t="s">
        <v>34</v>
      </c>
      <c r="I29" t="s">
        <v>35</v>
      </c>
      <c r="J29" t="s">
        <v>95</v>
      </c>
      <c r="K29" t="s">
        <v>69</v>
      </c>
      <c r="L29" t="s">
        <v>38</v>
      </c>
      <c r="M29">
        <v>42</v>
      </c>
      <c r="N29" s="7">
        <v>292</v>
      </c>
      <c r="O29" s="7" t="str">
        <f>IF(OR(survey_data[[#This Row],[Full Resolution Time]]&gt;$AK$4, survey_data[[#This Row],[Full Resolution Time]] &lt; survey_data[[#This Row],[Lower Bound]]), "Outlier", "Normal")</f>
        <v>Normal</v>
      </c>
      <c r="P29" s="7">
        <f>_xlfn.QUARTILE.INC(survey_data[Full Resolution Time], 1)</f>
        <v>70.5</v>
      </c>
      <c r="Q29">
        <v>0</v>
      </c>
      <c r="R29">
        <v>0</v>
      </c>
      <c r="S29">
        <v>5</v>
      </c>
      <c r="T29">
        <v>0</v>
      </c>
      <c r="U29">
        <v>0</v>
      </c>
      <c r="V29">
        <v>0</v>
      </c>
      <c r="W29">
        <v>0</v>
      </c>
      <c r="X29">
        <v>0</v>
      </c>
      <c r="Y29">
        <v>0</v>
      </c>
      <c r="Z29" t="s">
        <v>100</v>
      </c>
      <c r="AA29" t="s">
        <v>113</v>
      </c>
      <c r="AB29" t="s">
        <v>114</v>
      </c>
      <c r="AC29" s="3" t="str">
        <f t="shared" si="2"/>
        <v>15-Nov-2024</v>
      </c>
      <c r="AD29" t="s">
        <v>52</v>
      </c>
      <c r="AE29" t="s">
        <v>219</v>
      </c>
      <c r="AF29" t="s">
        <v>44</v>
      </c>
      <c r="AG29" t="s">
        <v>45</v>
      </c>
      <c r="AH29" t="s">
        <v>115</v>
      </c>
    </row>
    <row r="30" spans="1:34" x14ac:dyDescent="0.35">
      <c r="A30">
        <v>20147003</v>
      </c>
      <c r="B30" s="3">
        <v>46052.376321412034</v>
      </c>
      <c r="C30" s="3">
        <v>46055.132708333331</v>
      </c>
      <c r="D30" s="3" t="str">
        <f t="shared" si="0"/>
        <v>Promoter</v>
      </c>
      <c r="E30" s="7">
        <f t="shared" si="1"/>
        <v>100</v>
      </c>
      <c r="F30">
        <v>10</v>
      </c>
      <c r="G30" s="3">
        <v>46051.947083333333</v>
      </c>
      <c r="H30" t="s">
        <v>58</v>
      </c>
      <c r="I30" t="s">
        <v>35</v>
      </c>
      <c r="J30" t="s">
        <v>48</v>
      </c>
      <c r="K30" t="s">
        <v>77</v>
      </c>
      <c r="L30" t="s">
        <v>62</v>
      </c>
      <c r="M30">
        <v>5</v>
      </c>
      <c r="N30" s="7">
        <v>53</v>
      </c>
      <c r="O30" s="7" t="str">
        <f>IF(OR(survey_data[[#This Row],[Full Resolution Time]]&gt;$AK$4, survey_data[[#This Row],[Full Resolution Time]] &lt; survey_data[[#This Row],[Lower Bound]]), "Outlier", "Normal")</f>
        <v>Outlier</v>
      </c>
      <c r="P30" s="7">
        <f>_xlfn.QUARTILE.INC(survey_data[Full Resolution Time], 1)</f>
        <v>70.5</v>
      </c>
      <c r="Q30">
        <v>10</v>
      </c>
      <c r="R30">
        <v>10</v>
      </c>
      <c r="S30">
        <v>10</v>
      </c>
      <c r="T30">
        <v>9</v>
      </c>
      <c r="U30">
        <v>10</v>
      </c>
      <c r="V30">
        <v>10</v>
      </c>
      <c r="W30">
        <v>10</v>
      </c>
      <c r="X30">
        <v>10</v>
      </c>
      <c r="Y30">
        <v>10</v>
      </c>
      <c r="Z30" t="s">
        <v>49</v>
      </c>
      <c r="AA30" t="s">
        <v>116</v>
      </c>
      <c r="AB30" t="s">
        <v>117</v>
      </c>
      <c r="AC30" s="3" t="str">
        <f t="shared" si="2"/>
        <v>01-Nov-2024</v>
      </c>
      <c r="AD30" t="s">
        <v>52</v>
      </c>
      <c r="AE30" t="s">
        <v>219</v>
      </c>
      <c r="AF30" t="s">
        <v>44</v>
      </c>
      <c r="AG30" t="s">
        <v>45</v>
      </c>
      <c r="AH30" t="s">
        <v>53</v>
      </c>
    </row>
    <row r="31" spans="1:34" x14ac:dyDescent="0.35">
      <c r="A31">
        <v>20158388</v>
      </c>
      <c r="B31" s="3">
        <v>46054.378896562499</v>
      </c>
      <c r="C31" s="3">
        <v>46055.123171296298</v>
      </c>
      <c r="D31" s="3" t="str">
        <f t="shared" si="0"/>
        <v>Passive</v>
      </c>
      <c r="E31" s="7">
        <f t="shared" si="1"/>
        <v>0</v>
      </c>
      <c r="F31">
        <v>8</v>
      </c>
      <c r="G31" s="3">
        <v>46054.43037037037</v>
      </c>
      <c r="H31" t="s">
        <v>34</v>
      </c>
      <c r="I31" t="s">
        <v>35</v>
      </c>
      <c r="J31" t="s">
        <v>4</v>
      </c>
      <c r="K31" t="s">
        <v>37</v>
      </c>
      <c r="L31" t="s">
        <v>38</v>
      </c>
      <c r="M31">
        <v>164</v>
      </c>
      <c r="N31" s="7">
        <v>8172</v>
      </c>
      <c r="O31" s="7" t="str">
        <f>IF(OR(survey_data[[#This Row],[Full Resolution Time]]&gt;$AK$4, survey_data[[#This Row],[Full Resolution Time]] &lt; survey_data[[#This Row],[Lower Bound]]), "Outlier", "Normal")</f>
        <v>Normal</v>
      </c>
      <c r="P31" s="7">
        <f>_xlfn.QUARTILE.INC(survey_data[Full Resolution Time], 1)</f>
        <v>70.5</v>
      </c>
      <c r="Q31">
        <v>10</v>
      </c>
      <c r="R31">
        <v>8</v>
      </c>
      <c r="S31">
        <v>10</v>
      </c>
      <c r="T31">
        <v>10</v>
      </c>
      <c r="U31">
        <v>10</v>
      </c>
      <c r="V31">
        <v>10</v>
      </c>
      <c r="W31">
        <v>10</v>
      </c>
      <c r="X31">
        <v>10</v>
      </c>
      <c r="Y31">
        <v>10</v>
      </c>
      <c r="Z31" t="s">
        <v>49</v>
      </c>
      <c r="AA31" t="s">
        <v>118</v>
      </c>
      <c r="AB31" t="s">
        <v>80</v>
      </c>
      <c r="AC31" s="3" t="str">
        <f t="shared" si="2"/>
        <v>07-Aug-2024</v>
      </c>
      <c r="AD31" t="s">
        <v>52</v>
      </c>
      <c r="AE31" t="s">
        <v>219</v>
      </c>
      <c r="AF31" t="s">
        <v>44</v>
      </c>
      <c r="AG31" t="s">
        <v>45</v>
      </c>
      <c r="AH31" t="s">
        <v>61</v>
      </c>
    </row>
    <row r="32" spans="1:34" x14ac:dyDescent="0.35">
      <c r="A32">
        <v>20158260</v>
      </c>
      <c r="B32" s="3">
        <v>46054.378489525465</v>
      </c>
      <c r="C32" s="3">
        <v>46055.09778935185</v>
      </c>
      <c r="D32" s="3" t="str">
        <f t="shared" si="0"/>
        <v>Promoter</v>
      </c>
      <c r="E32" s="7">
        <f t="shared" si="1"/>
        <v>100</v>
      </c>
      <c r="F32">
        <v>10</v>
      </c>
      <c r="G32" s="3">
        <v>46053.892025462963</v>
      </c>
      <c r="H32" t="s">
        <v>58</v>
      </c>
      <c r="I32" t="s">
        <v>35</v>
      </c>
      <c r="J32" t="s">
        <v>48</v>
      </c>
      <c r="K32" t="s">
        <v>119</v>
      </c>
      <c r="L32" t="s">
        <v>62</v>
      </c>
      <c r="M32">
        <v>5</v>
      </c>
      <c r="N32" s="7">
        <v>69</v>
      </c>
      <c r="O32" s="7" t="str">
        <f>IF(OR(survey_data[[#This Row],[Full Resolution Time]]&gt;$AK$4, survey_data[[#This Row],[Full Resolution Time]] &lt; survey_data[[#This Row],[Lower Bound]]), "Outlier", "Normal")</f>
        <v>Outlier</v>
      </c>
      <c r="P32" s="7">
        <f>_xlfn.QUARTILE.INC(survey_data[Full Resolution Time], 1)</f>
        <v>70.5</v>
      </c>
      <c r="Q32">
        <v>10</v>
      </c>
      <c r="R32">
        <v>10</v>
      </c>
      <c r="S32">
        <v>10</v>
      </c>
      <c r="T32">
        <v>10</v>
      </c>
      <c r="U32">
        <v>10</v>
      </c>
      <c r="V32">
        <v>10</v>
      </c>
      <c r="W32">
        <v>10</v>
      </c>
      <c r="X32">
        <v>10</v>
      </c>
      <c r="Y32">
        <v>9</v>
      </c>
      <c r="Z32" t="s">
        <v>49</v>
      </c>
      <c r="AA32" t="s">
        <v>67</v>
      </c>
      <c r="AB32" t="s">
        <v>72</v>
      </c>
      <c r="AC32" s="3" t="str">
        <f t="shared" si="2"/>
        <v>10-Jun-2025</v>
      </c>
      <c r="AD32" t="s">
        <v>52</v>
      </c>
      <c r="AE32" t="s">
        <v>219</v>
      </c>
      <c r="AF32" t="s">
        <v>44</v>
      </c>
      <c r="AG32" t="s">
        <v>45</v>
      </c>
      <c r="AH32" t="s">
        <v>73</v>
      </c>
    </row>
    <row r="33" spans="1:34" x14ac:dyDescent="0.35">
      <c r="A33">
        <v>20161342</v>
      </c>
      <c r="B33" s="3">
        <v>46055.062963206015</v>
      </c>
      <c r="C33" s="3">
        <v>46055.063668981478</v>
      </c>
      <c r="D33" s="3" t="str">
        <f t="shared" si="0"/>
        <v>Promoter</v>
      </c>
      <c r="E33" s="7">
        <f t="shared" si="1"/>
        <v>100</v>
      </c>
      <c r="F33">
        <v>10</v>
      </c>
      <c r="G33" s="3">
        <v>46055.394201388888</v>
      </c>
      <c r="H33" t="s">
        <v>34</v>
      </c>
      <c r="I33" t="s">
        <v>35</v>
      </c>
      <c r="J33" t="s">
        <v>95</v>
      </c>
      <c r="K33" t="s">
        <v>120</v>
      </c>
      <c r="L33" t="s">
        <v>38</v>
      </c>
      <c r="M33">
        <v>86</v>
      </c>
      <c r="N33" s="7">
        <v>87</v>
      </c>
      <c r="O33" s="7" t="str">
        <f>IF(OR(survey_data[[#This Row],[Full Resolution Time]]&gt;$AK$4, survey_data[[#This Row],[Full Resolution Time]] &lt; survey_data[[#This Row],[Lower Bound]]), "Outlier", "Normal")</f>
        <v>Normal</v>
      </c>
      <c r="P33" s="7">
        <f>_xlfn.QUARTILE.INC(survey_data[Full Resolution Time], 1)</f>
        <v>70.5</v>
      </c>
      <c r="Q33">
        <v>10</v>
      </c>
      <c r="R33">
        <v>10</v>
      </c>
      <c r="S33">
        <v>10</v>
      </c>
      <c r="T33">
        <v>10</v>
      </c>
      <c r="U33">
        <v>10</v>
      </c>
      <c r="V33">
        <v>10</v>
      </c>
      <c r="W33">
        <v>10</v>
      </c>
      <c r="X33">
        <v>10</v>
      </c>
      <c r="Y33">
        <v>8</v>
      </c>
      <c r="Z33" t="s">
        <v>49</v>
      </c>
      <c r="AA33" t="s">
        <v>121</v>
      </c>
      <c r="AB33" t="s">
        <v>122</v>
      </c>
      <c r="AC33" s="3" t="str">
        <f t="shared" si="2"/>
        <v>26-Oct-2022</v>
      </c>
      <c r="AD33" t="s">
        <v>52</v>
      </c>
      <c r="AE33" t="s">
        <v>220</v>
      </c>
      <c r="AF33" t="s">
        <v>44</v>
      </c>
      <c r="AG33" t="s">
        <v>45</v>
      </c>
      <c r="AH33" t="s">
        <v>53</v>
      </c>
    </row>
    <row r="34" spans="1:34" x14ac:dyDescent="0.35">
      <c r="A34">
        <v>20136136</v>
      </c>
      <c r="B34" s="3">
        <v>46050.377629467592</v>
      </c>
      <c r="C34" s="3">
        <v>46055.027800925927</v>
      </c>
      <c r="D34" s="3" t="str">
        <f t="shared" ref="D34:D65" si="3">IF(E34 = 100, "Promoter", IF(E34 = -100, "Detractor", "Passive"))</f>
        <v>Detractor</v>
      </c>
      <c r="E34" s="7">
        <f t="shared" si="1"/>
        <v>-100</v>
      </c>
      <c r="F34">
        <v>0</v>
      </c>
      <c r="G34" s="3">
        <v>46050.154143518521</v>
      </c>
      <c r="H34" t="s">
        <v>54</v>
      </c>
      <c r="I34" t="s">
        <v>35</v>
      </c>
      <c r="J34" t="s">
        <v>48</v>
      </c>
      <c r="K34" t="s">
        <v>69</v>
      </c>
      <c r="L34" t="s">
        <v>62</v>
      </c>
      <c r="M34">
        <v>13</v>
      </c>
      <c r="N34" s="7">
        <v>2791</v>
      </c>
      <c r="O34" s="7" t="str">
        <f>IF(OR(survey_data[[#This Row],[Full Resolution Time]]&gt;$AK$4, survey_data[[#This Row],[Full Resolution Time]] &lt; survey_data[[#This Row],[Lower Bound]]), "Outlier", "Normal")</f>
        <v>Normal</v>
      </c>
      <c r="P34" s="7">
        <f>_xlfn.QUARTILE.INC(survey_data[Full Resolution Time], 1)</f>
        <v>70.5</v>
      </c>
      <c r="Q34">
        <v>0</v>
      </c>
      <c r="R34">
        <v>0</v>
      </c>
      <c r="S34">
        <v>0</v>
      </c>
      <c r="T34">
        <v>0</v>
      </c>
      <c r="U34">
        <v>0</v>
      </c>
      <c r="V34">
        <v>0</v>
      </c>
      <c r="W34">
        <v>0</v>
      </c>
      <c r="X34">
        <v>0</v>
      </c>
      <c r="Y34">
        <v>0</v>
      </c>
      <c r="Z34" t="s">
        <v>100</v>
      </c>
      <c r="AA34" t="s">
        <v>123</v>
      </c>
      <c r="AB34" t="s">
        <v>124</v>
      </c>
      <c r="AC34" s="3" t="str">
        <f t="shared" si="2"/>
        <v>04-Jul-2025</v>
      </c>
      <c r="AD34" t="s">
        <v>52</v>
      </c>
      <c r="AE34" t="s">
        <v>220</v>
      </c>
      <c r="AF34" t="s">
        <v>44</v>
      </c>
      <c r="AG34" t="s">
        <v>45</v>
      </c>
      <c r="AH34" t="s">
        <v>46</v>
      </c>
    </row>
    <row r="35" spans="1:34" x14ac:dyDescent="0.35">
      <c r="A35">
        <v>20136156</v>
      </c>
      <c r="B35" s="3">
        <v>46050.377690266207</v>
      </c>
      <c r="C35" s="3">
        <v>46054.991377314815</v>
      </c>
      <c r="D35" s="3" t="str">
        <f t="shared" si="3"/>
        <v>Promoter</v>
      </c>
      <c r="E35" s="7">
        <f t="shared" si="1"/>
        <v>100</v>
      </c>
      <c r="F35">
        <v>10</v>
      </c>
      <c r="G35" s="3">
        <v>46049.745729166665</v>
      </c>
      <c r="H35" t="s">
        <v>34</v>
      </c>
      <c r="I35" t="s">
        <v>35</v>
      </c>
      <c r="J35" t="s">
        <v>48</v>
      </c>
      <c r="K35" t="s">
        <v>69</v>
      </c>
      <c r="L35" t="s">
        <v>62</v>
      </c>
      <c r="M35">
        <v>60</v>
      </c>
      <c r="N35" s="7">
        <v>84</v>
      </c>
      <c r="O35" s="7" t="str">
        <f>IF(OR(survey_data[[#This Row],[Full Resolution Time]]&gt;$AK$4, survey_data[[#This Row],[Full Resolution Time]] &lt; survey_data[[#This Row],[Lower Bound]]), "Outlier", "Normal")</f>
        <v>Normal</v>
      </c>
      <c r="P35" s="7">
        <f>_xlfn.QUARTILE.INC(survey_data[Full Resolution Time], 1)</f>
        <v>70.5</v>
      </c>
      <c r="Q35">
        <v>10</v>
      </c>
      <c r="R35">
        <v>10</v>
      </c>
      <c r="S35">
        <v>10</v>
      </c>
      <c r="T35">
        <v>10</v>
      </c>
      <c r="U35">
        <v>10</v>
      </c>
      <c r="V35">
        <v>10</v>
      </c>
      <c r="W35">
        <v>10</v>
      </c>
      <c r="X35">
        <v>10</v>
      </c>
      <c r="Y35">
        <v>10</v>
      </c>
      <c r="AA35" t="s">
        <v>125</v>
      </c>
      <c r="AB35" t="s">
        <v>88</v>
      </c>
      <c r="AC35" s="3" t="str">
        <f t="shared" si="2"/>
        <v>10-Sep-2024</v>
      </c>
      <c r="AD35" t="s">
        <v>52</v>
      </c>
      <c r="AE35" t="s">
        <v>219</v>
      </c>
      <c r="AF35" t="s">
        <v>44</v>
      </c>
      <c r="AG35" t="s">
        <v>45</v>
      </c>
      <c r="AH35" t="s">
        <v>126</v>
      </c>
    </row>
    <row r="36" spans="1:34" x14ac:dyDescent="0.35">
      <c r="A36">
        <v>20130593</v>
      </c>
      <c r="B36" s="3">
        <v>46049.377777731483</v>
      </c>
      <c r="C36" s="3">
        <v>46054.960601851853</v>
      </c>
      <c r="D36" s="3" t="str">
        <f t="shared" si="3"/>
        <v>Promoter</v>
      </c>
      <c r="E36" s="7">
        <f t="shared" si="1"/>
        <v>100</v>
      </c>
      <c r="F36">
        <v>10</v>
      </c>
      <c r="G36" s="3">
        <v>46049.038935185185</v>
      </c>
      <c r="H36" t="s">
        <v>58</v>
      </c>
      <c r="I36" t="s">
        <v>35</v>
      </c>
      <c r="J36" t="s">
        <v>48</v>
      </c>
      <c r="K36" t="s">
        <v>37</v>
      </c>
      <c r="L36" t="s">
        <v>62</v>
      </c>
      <c r="M36">
        <v>20</v>
      </c>
      <c r="N36" s="7">
        <v>54</v>
      </c>
      <c r="O36" s="7" t="str">
        <f>IF(OR(survey_data[[#This Row],[Full Resolution Time]]&gt;$AK$4, survey_data[[#This Row],[Full Resolution Time]] &lt; survey_data[[#This Row],[Lower Bound]]), "Outlier", "Normal")</f>
        <v>Outlier</v>
      </c>
      <c r="P36" s="7">
        <f>_xlfn.QUARTILE.INC(survey_data[Full Resolution Time], 1)</f>
        <v>70.5</v>
      </c>
      <c r="Q36">
        <v>10</v>
      </c>
      <c r="R36">
        <v>10</v>
      </c>
      <c r="S36">
        <v>10</v>
      </c>
      <c r="T36">
        <v>10</v>
      </c>
      <c r="U36">
        <v>10</v>
      </c>
      <c r="V36">
        <v>10</v>
      </c>
      <c r="W36">
        <v>10</v>
      </c>
      <c r="X36">
        <v>10</v>
      </c>
      <c r="Y36">
        <v>10</v>
      </c>
      <c r="Z36" t="s">
        <v>49</v>
      </c>
      <c r="AA36" t="s">
        <v>127</v>
      </c>
      <c r="AB36" t="s">
        <v>97</v>
      </c>
      <c r="AC36" s="3" t="str">
        <f t="shared" si="2"/>
        <v>02-Jun-2025</v>
      </c>
      <c r="AD36" t="s">
        <v>52</v>
      </c>
      <c r="AE36" t="s">
        <v>220</v>
      </c>
      <c r="AF36" t="s">
        <v>44</v>
      </c>
      <c r="AG36" t="s">
        <v>45</v>
      </c>
      <c r="AH36" t="s">
        <v>73</v>
      </c>
    </row>
    <row r="37" spans="1:34" x14ac:dyDescent="0.35">
      <c r="A37">
        <v>20153182</v>
      </c>
      <c r="B37" s="3">
        <v>46053.378688391203</v>
      </c>
      <c r="C37" s="3">
        <v>46054.91306712963</v>
      </c>
      <c r="D37" s="3" t="str">
        <f t="shared" si="3"/>
        <v>Promoter</v>
      </c>
      <c r="E37" s="7">
        <f t="shared" si="1"/>
        <v>100</v>
      </c>
      <c r="F37">
        <v>10</v>
      </c>
      <c r="G37" s="3">
        <v>46052.81795138889</v>
      </c>
      <c r="H37" t="s">
        <v>128</v>
      </c>
      <c r="I37" t="s">
        <v>35</v>
      </c>
      <c r="J37" t="s">
        <v>4</v>
      </c>
      <c r="K37" t="s">
        <v>55</v>
      </c>
      <c r="L37" t="s">
        <v>38</v>
      </c>
      <c r="M37">
        <v>209</v>
      </c>
      <c r="N37" s="7">
        <v>10120</v>
      </c>
      <c r="O37" s="7" t="str">
        <f>IF(OR(survey_data[[#This Row],[Full Resolution Time]]&gt;$AK$4, survey_data[[#This Row],[Full Resolution Time]] &lt; survey_data[[#This Row],[Lower Bound]]), "Outlier", "Normal")</f>
        <v>Normal</v>
      </c>
      <c r="P37" s="7">
        <f>_xlfn.QUARTILE.INC(survey_data[Full Resolution Time], 1)</f>
        <v>70.5</v>
      </c>
      <c r="Q37">
        <v>10</v>
      </c>
      <c r="R37">
        <v>10</v>
      </c>
      <c r="S37">
        <v>10</v>
      </c>
      <c r="T37">
        <v>10</v>
      </c>
      <c r="U37">
        <v>10</v>
      </c>
      <c r="V37">
        <v>10</v>
      </c>
      <c r="W37">
        <v>10</v>
      </c>
      <c r="X37">
        <v>10</v>
      </c>
      <c r="Y37">
        <v>10</v>
      </c>
      <c r="Z37" t="s">
        <v>49</v>
      </c>
      <c r="AA37" t="s">
        <v>129</v>
      </c>
      <c r="AB37" t="s">
        <v>130</v>
      </c>
      <c r="AC37" s="3" t="str">
        <f t="shared" si="2"/>
        <v>13-Jun-2023</v>
      </c>
      <c r="AD37" t="s">
        <v>52</v>
      </c>
      <c r="AE37" t="s">
        <v>220</v>
      </c>
      <c r="AF37" t="s">
        <v>44</v>
      </c>
      <c r="AG37" t="s">
        <v>45</v>
      </c>
      <c r="AH37" t="s">
        <v>53</v>
      </c>
    </row>
    <row r="38" spans="1:34" x14ac:dyDescent="0.35">
      <c r="A38">
        <v>20157500</v>
      </c>
      <c r="B38" s="3">
        <v>46054.375948877314</v>
      </c>
      <c r="C38" s="3">
        <v>46054.909108796295</v>
      </c>
      <c r="D38" s="3" t="str">
        <f t="shared" si="3"/>
        <v>Promoter</v>
      </c>
      <c r="E38" s="7">
        <f t="shared" si="1"/>
        <v>100</v>
      </c>
      <c r="F38">
        <v>10</v>
      </c>
      <c r="G38" s="3">
        <v>46054.197245370371</v>
      </c>
      <c r="H38" t="s">
        <v>131</v>
      </c>
      <c r="I38" t="s">
        <v>35</v>
      </c>
      <c r="J38" t="s">
        <v>4</v>
      </c>
      <c r="K38" t="s">
        <v>37</v>
      </c>
      <c r="L38" t="s">
        <v>38</v>
      </c>
      <c r="M38">
        <v>133</v>
      </c>
      <c r="N38" s="7">
        <v>8778</v>
      </c>
      <c r="O38" s="7" t="str">
        <f>IF(OR(survey_data[[#This Row],[Full Resolution Time]]&gt;$AK$4, survey_data[[#This Row],[Full Resolution Time]] &lt; survey_data[[#This Row],[Lower Bound]]), "Outlier", "Normal")</f>
        <v>Normal</v>
      </c>
      <c r="P38" s="7">
        <f>_xlfn.QUARTILE.INC(survey_data[Full Resolution Time], 1)</f>
        <v>70.5</v>
      </c>
      <c r="Q38">
        <v>10</v>
      </c>
      <c r="R38">
        <v>10</v>
      </c>
      <c r="S38">
        <v>10</v>
      </c>
      <c r="T38">
        <v>10</v>
      </c>
      <c r="U38">
        <v>10</v>
      </c>
      <c r="V38">
        <v>10</v>
      </c>
      <c r="W38">
        <v>10</v>
      </c>
      <c r="X38">
        <v>10</v>
      </c>
      <c r="Y38">
        <v>10</v>
      </c>
      <c r="Z38" t="s">
        <v>49</v>
      </c>
      <c r="AA38" t="s">
        <v>132</v>
      </c>
      <c r="AB38" t="s">
        <v>133</v>
      </c>
      <c r="AC38" s="3" t="str">
        <f t="shared" si="2"/>
        <v>27-Oct-2023</v>
      </c>
      <c r="AD38" t="s">
        <v>52</v>
      </c>
      <c r="AE38" t="s">
        <v>219</v>
      </c>
      <c r="AF38" t="s">
        <v>44</v>
      </c>
      <c r="AG38" t="s">
        <v>45</v>
      </c>
      <c r="AH38" t="s">
        <v>126</v>
      </c>
    </row>
    <row r="39" spans="1:34" x14ac:dyDescent="0.35">
      <c r="A39">
        <v>20125106</v>
      </c>
      <c r="B39" s="3">
        <v>46048.378163125002</v>
      </c>
      <c r="C39" s="3">
        <v>46054.90902777778</v>
      </c>
      <c r="D39" s="3" t="str">
        <f t="shared" si="3"/>
        <v>Passive</v>
      </c>
      <c r="E39" s="7">
        <f t="shared" si="1"/>
        <v>0</v>
      </c>
      <c r="F39">
        <v>7</v>
      </c>
      <c r="G39" s="3">
        <v>46048.211458333331</v>
      </c>
      <c r="H39" t="s">
        <v>34</v>
      </c>
      <c r="I39" t="s">
        <v>35</v>
      </c>
      <c r="J39" t="s">
        <v>48</v>
      </c>
      <c r="K39" t="s">
        <v>71</v>
      </c>
      <c r="L39" t="s">
        <v>62</v>
      </c>
      <c r="M39">
        <v>8</v>
      </c>
      <c r="N39" s="7">
        <v>109</v>
      </c>
      <c r="O39" s="7" t="str">
        <f>IF(OR(survey_data[[#This Row],[Full Resolution Time]]&gt;$AK$4, survey_data[[#This Row],[Full Resolution Time]] &lt; survey_data[[#This Row],[Lower Bound]]), "Outlier", "Normal")</f>
        <v>Normal</v>
      </c>
      <c r="P39" s="7">
        <f>_xlfn.QUARTILE.INC(survey_data[Full Resolution Time], 1)</f>
        <v>70.5</v>
      </c>
      <c r="Q39">
        <v>9</v>
      </c>
      <c r="R39">
        <v>9</v>
      </c>
      <c r="S39">
        <v>9</v>
      </c>
      <c r="T39">
        <v>9</v>
      </c>
      <c r="U39">
        <v>9</v>
      </c>
      <c r="V39">
        <v>9</v>
      </c>
      <c r="W39">
        <v>9</v>
      </c>
      <c r="X39">
        <v>8</v>
      </c>
      <c r="Y39">
        <v>4</v>
      </c>
      <c r="Z39" t="s">
        <v>49</v>
      </c>
      <c r="AA39" t="s">
        <v>134</v>
      </c>
      <c r="AB39" t="s">
        <v>135</v>
      </c>
      <c r="AC39" s="3" t="str">
        <f t="shared" si="2"/>
        <v>11-Aug-2023</v>
      </c>
      <c r="AD39" t="s">
        <v>136</v>
      </c>
      <c r="AE39" t="s">
        <v>220</v>
      </c>
      <c r="AF39" t="s">
        <v>44</v>
      </c>
      <c r="AG39" t="s">
        <v>45</v>
      </c>
      <c r="AH39" t="s">
        <v>137</v>
      </c>
    </row>
    <row r="40" spans="1:34" x14ac:dyDescent="0.35">
      <c r="A40">
        <v>20160899</v>
      </c>
      <c r="B40" s="3">
        <v>46054.882509386574</v>
      </c>
      <c r="C40" s="3">
        <v>46054.884039351855</v>
      </c>
      <c r="D40" s="3" t="str">
        <f t="shared" si="3"/>
        <v>Detractor</v>
      </c>
      <c r="E40" s="7">
        <f t="shared" si="1"/>
        <v>-100</v>
      </c>
      <c r="F40">
        <v>5</v>
      </c>
      <c r="G40" s="3">
        <v>46055.084780092591</v>
      </c>
      <c r="H40" t="s">
        <v>34</v>
      </c>
      <c r="I40" t="s">
        <v>35</v>
      </c>
      <c r="J40" t="s">
        <v>95</v>
      </c>
      <c r="K40" t="s">
        <v>66</v>
      </c>
      <c r="L40" t="s">
        <v>38</v>
      </c>
      <c r="M40">
        <v>138</v>
      </c>
      <c r="N40" s="7">
        <v>13309</v>
      </c>
      <c r="O40" s="7" t="str">
        <f>IF(OR(survey_data[[#This Row],[Full Resolution Time]]&gt;$AK$4, survey_data[[#This Row],[Full Resolution Time]] &lt; survey_data[[#This Row],[Lower Bound]]), "Outlier", "Normal")</f>
        <v>Normal</v>
      </c>
      <c r="P40" s="7">
        <f>_xlfn.QUARTILE.INC(survey_data[Full Resolution Time], 1)</f>
        <v>70.5</v>
      </c>
      <c r="Q40">
        <v>3</v>
      </c>
      <c r="R40">
        <v>5</v>
      </c>
      <c r="S40">
        <v>2</v>
      </c>
      <c r="T40">
        <v>8</v>
      </c>
      <c r="U40">
        <v>8</v>
      </c>
      <c r="V40">
        <v>0</v>
      </c>
      <c r="W40">
        <v>0</v>
      </c>
      <c r="X40">
        <v>0</v>
      </c>
      <c r="Y40">
        <v>1</v>
      </c>
      <c r="Z40" t="s">
        <v>100</v>
      </c>
      <c r="AA40" t="s">
        <v>138</v>
      </c>
      <c r="AB40" t="s">
        <v>139</v>
      </c>
      <c r="AC40" s="3" t="str">
        <f t="shared" si="2"/>
        <v>29-Nov-2024</v>
      </c>
      <c r="AD40" t="s">
        <v>52</v>
      </c>
      <c r="AE40" t="s">
        <v>219</v>
      </c>
      <c r="AF40" t="s">
        <v>85</v>
      </c>
      <c r="AG40" t="s">
        <v>45</v>
      </c>
      <c r="AH40" t="s">
        <v>86</v>
      </c>
    </row>
    <row r="41" spans="1:34" x14ac:dyDescent="0.35">
      <c r="A41">
        <v>20131109</v>
      </c>
      <c r="B41" s="3">
        <v>46049.379319687498</v>
      </c>
      <c r="C41" s="3">
        <v>46054.877141203702</v>
      </c>
      <c r="D41" s="3" t="str">
        <f t="shared" si="3"/>
        <v>Promoter</v>
      </c>
      <c r="E41" s="7">
        <f t="shared" si="1"/>
        <v>100</v>
      </c>
      <c r="F41">
        <v>10</v>
      </c>
      <c r="G41" s="3">
        <v>46049.402627314812</v>
      </c>
      <c r="H41" t="s">
        <v>54</v>
      </c>
      <c r="I41" t="s">
        <v>35</v>
      </c>
      <c r="J41" t="s">
        <v>4</v>
      </c>
      <c r="K41" t="s">
        <v>77</v>
      </c>
      <c r="L41" t="s">
        <v>38</v>
      </c>
      <c r="M41">
        <v>80</v>
      </c>
      <c r="N41" s="7">
        <v>7495</v>
      </c>
      <c r="O41" s="7" t="str">
        <f>IF(OR(survey_data[[#This Row],[Full Resolution Time]]&gt;$AK$4, survey_data[[#This Row],[Full Resolution Time]] &lt; survey_data[[#This Row],[Lower Bound]]), "Outlier", "Normal")</f>
        <v>Normal</v>
      </c>
      <c r="P41" s="7">
        <f>_xlfn.QUARTILE.INC(survey_data[Full Resolution Time], 1)</f>
        <v>70.5</v>
      </c>
      <c r="Q41">
        <v>10</v>
      </c>
      <c r="R41">
        <v>10</v>
      </c>
      <c r="S41">
        <v>10</v>
      </c>
      <c r="T41">
        <v>10</v>
      </c>
      <c r="U41">
        <v>10</v>
      </c>
      <c r="V41">
        <v>10</v>
      </c>
      <c r="W41">
        <v>10</v>
      </c>
      <c r="X41">
        <v>10</v>
      </c>
      <c r="Y41">
        <v>10</v>
      </c>
      <c r="Z41" t="s">
        <v>49</v>
      </c>
      <c r="AA41" t="s">
        <v>140</v>
      </c>
      <c r="AB41" t="s">
        <v>139</v>
      </c>
      <c r="AC41" s="3" t="str">
        <f t="shared" si="2"/>
        <v>29-Nov-2024</v>
      </c>
      <c r="AD41" t="s">
        <v>52</v>
      </c>
      <c r="AE41" t="s">
        <v>220</v>
      </c>
      <c r="AF41" t="s">
        <v>44</v>
      </c>
      <c r="AG41" t="s">
        <v>45</v>
      </c>
      <c r="AH41" t="s">
        <v>53</v>
      </c>
    </row>
    <row r="42" spans="1:34" x14ac:dyDescent="0.35">
      <c r="A42">
        <v>20160847</v>
      </c>
      <c r="B42" s="3">
        <v>46054.862181446762</v>
      </c>
      <c r="C42" s="3">
        <v>46054.863368055558</v>
      </c>
      <c r="D42" s="3" t="str">
        <f t="shared" si="3"/>
        <v>Promoter</v>
      </c>
      <c r="E42" s="7">
        <f t="shared" si="1"/>
        <v>100</v>
      </c>
      <c r="F42">
        <v>10</v>
      </c>
      <c r="G42" s="3">
        <v>46055.194953703707</v>
      </c>
      <c r="H42" t="s">
        <v>34</v>
      </c>
      <c r="I42" t="s">
        <v>35</v>
      </c>
      <c r="J42" t="s">
        <v>95</v>
      </c>
      <c r="K42" t="s">
        <v>69</v>
      </c>
      <c r="L42" t="s">
        <v>38</v>
      </c>
      <c r="M42">
        <v>7</v>
      </c>
      <c r="N42" s="7">
        <v>7</v>
      </c>
      <c r="O42" s="7" t="str">
        <f>IF(OR(survey_data[[#This Row],[Full Resolution Time]]&gt;$AK$4, survey_data[[#This Row],[Full Resolution Time]] &lt; survey_data[[#This Row],[Lower Bound]]), "Outlier", "Normal")</f>
        <v>Outlier</v>
      </c>
      <c r="P42" s="7">
        <f>_xlfn.QUARTILE.INC(survey_data[Full Resolution Time], 1)</f>
        <v>70.5</v>
      </c>
      <c r="Q42">
        <v>10</v>
      </c>
      <c r="R42">
        <v>10</v>
      </c>
      <c r="S42">
        <v>10</v>
      </c>
      <c r="T42">
        <v>10</v>
      </c>
      <c r="U42">
        <v>10</v>
      </c>
      <c r="V42">
        <v>10</v>
      </c>
      <c r="W42">
        <v>10</v>
      </c>
      <c r="X42">
        <v>10</v>
      </c>
      <c r="Y42">
        <v>10</v>
      </c>
      <c r="Z42" t="s">
        <v>49</v>
      </c>
      <c r="AA42" t="s">
        <v>141</v>
      </c>
      <c r="AB42" t="s">
        <v>142</v>
      </c>
      <c r="AC42" s="3" t="str">
        <f t="shared" si="2"/>
        <v>18-Aug-2025</v>
      </c>
      <c r="AD42" t="s">
        <v>52</v>
      </c>
      <c r="AE42" t="s">
        <v>220</v>
      </c>
      <c r="AF42" t="s">
        <v>44</v>
      </c>
      <c r="AG42" t="s">
        <v>45</v>
      </c>
      <c r="AH42" t="s">
        <v>73</v>
      </c>
    </row>
    <row r="43" spans="1:34" x14ac:dyDescent="0.35">
      <c r="A43">
        <v>20157809</v>
      </c>
      <c r="B43" s="3">
        <v>46054.377017673614</v>
      </c>
      <c r="C43" s="3">
        <v>46054.824189814812</v>
      </c>
      <c r="D43" s="3" t="str">
        <f t="shared" si="3"/>
        <v>Passive</v>
      </c>
      <c r="E43" s="7">
        <f t="shared" si="1"/>
        <v>0</v>
      </c>
      <c r="F43">
        <v>7</v>
      </c>
      <c r="G43" s="3">
        <v>46054.103483796294</v>
      </c>
      <c r="H43" t="s">
        <v>58</v>
      </c>
      <c r="I43" t="s">
        <v>35</v>
      </c>
      <c r="J43" t="s">
        <v>48</v>
      </c>
      <c r="K43" t="s">
        <v>55</v>
      </c>
      <c r="L43" t="s">
        <v>62</v>
      </c>
      <c r="M43">
        <v>8</v>
      </c>
      <c r="N43" s="7">
        <v>47</v>
      </c>
      <c r="O43" s="7" t="str">
        <f>IF(OR(survey_data[[#This Row],[Full Resolution Time]]&gt;$AK$4, survey_data[[#This Row],[Full Resolution Time]] &lt; survey_data[[#This Row],[Lower Bound]]), "Outlier", "Normal")</f>
        <v>Outlier</v>
      </c>
      <c r="P43" s="7">
        <f>_xlfn.QUARTILE.INC(survey_data[Full Resolution Time], 1)</f>
        <v>70.5</v>
      </c>
      <c r="Q43">
        <v>9</v>
      </c>
      <c r="R43">
        <v>8</v>
      </c>
      <c r="S43">
        <v>10</v>
      </c>
      <c r="T43">
        <v>9</v>
      </c>
      <c r="U43">
        <v>9</v>
      </c>
      <c r="V43">
        <v>9</v>
      </c>
      <c r="W43">
        <v>10</v>
      </c>
      <c r="X43">
        <v>10</v>
      </c>
      <c r="Y43">
        <v>8</v>
      </c>
      <c r="Z43" t="s">
        <v>49</v>
      </c>
      <c r="AA43" t="s">
        <v>143</v>
      </c>
      <c r="AB43" t="s">
        <v>144</v>
      </c>
      <c r="AC43" s="3" t="str">
        <f t="shared" si="2"/>
        <v>12-Apr-2024</v>
      </c>
      <c r="AD43" t="s">
        <v>52</v>
      </c>
      <c r="AE43" t="s">
        <v>220</v>
      </c>
      <c r="AF43" t="s">
        <v>44</v>
      </c>
      <c r="AG43" t="s">
        <v>45</v>
      </c>
      <c r="AH43" t="s">
        <v>53</v>
      </c>
    </row>
    <row r="44" spans="1:34" x14ac:dyDescent="0.35">
      <c r="A44">
        <v>20157343</v>
      </c>
      <c r="B44" s="3">
        <v>46054.375498321759</v>
      </c>
      <c r="C44" s="3">
        <v>46054.786145833335</v>
      </c>
      <c r="D44" s="3" t="str">
        <f t="shared" si="3"/>
        <v>Promoter</v>
      </c>
      <c r="E44" s="7">
        <f t="shared" si="1"/>
        <v>100</v>
      </c>
      <c r="F44">
        <v>10</v>
      </c>
      <c r="G44" s="3">
        <v>46054.048101851855</v>
      </c>
      <c r="H44" t="s">
        <v>54</v>
      </c>
      <c r="I44" t="s">
        <v>35</v>
      </c>
      <c r="J44" t="s">
        <v>4</v>
      </c>
      <c r="K44" t="s">
        <v>71</v>
      </c>
      <c r="L44" t="s">
        <v>62</v>
      </c>
      <c r="M44">
        <v>35</v>
      </c>
      <c r="N44" s="7">
        <v>581</v>
      </c>
      <c r="O44" s="7" t="str">
        <f>IF(OR(survey_data[[#This Row],[Full Resolution Time]]&gt;$AK$4, survey_data[[#This Row],[Full Resolution Time]] &lt; survey_data[[#This Row],[Lower Bound]]), "Outlier", "Normal")</f>
        <v>Normal</v>
      </c>
      <c r="P44" s="7">
        <f>_xlfn.QUARTILE.INC(survey_data[Full Resolution Time], 1)</f>
        <v>70.5</v>
      </c>
      <c r="Q44">
        <v>8</v>
      </c>
      <c r="R44">
        <v>10</v>
      </c>
      <c r="S44">
        <v>10</v>
      </c>
      <c r="T44">
        <v>10</v>
      </c>
      <c r="U44">
        <v>10</v>
      </c>
      <c r="V44">
        <v>10</v>
      </c>
      <c r="W44">
        <v>10</v>
      </c>
      <c r="X44">
        <v>7</v>
      </c>
      <c r="Y44">
        <v>10</v>
      </c>
      <c r="Z44" t="s">
        <v>49</v>
      </c>
      <c r="AA44" t="s">
        <v>145</v>
      </c>
      <c r="AB44" t="s">
        <v>109</v>
      </c>
      <c r="AC44" s="3" t="str">
        <f t="shared" si="2"/>
        <v>20-Nov-2023</v>
      </c>
      <c r="AD44" t="s">
        <v>52</v>
      </c>
      <c r="AE44" t="s">
        <v>219</v>
      </c>
      <c r="AF44" t="s">
        <v>44</v>
      </c>
      <c r="AG44" t="s">
        <v>45</v>
      </c>
      <c r="AH44" t="s">
        <v>53</v>
      </c>
    </row>
    <row r="45" spans="1:34" x14ac:dyDescent="0.35">
      <c r="A45">
        <v>20158861</v>
      </c>
      <c r="B45" s="3">
        <v>46054.38065979167</v>
      </c>
      <c r="C45" s="3">
        <v>46054.773321759261</v>
      </c>
      <c r="D45" s="3" t="str">
        <f t="shared" si="3"/>
        <v>Detractor</v>
      </c>
      <c r="E45" s="7">
        <f t="shared" si="1"/>
        <v>-100</v>
      </c>
      <c r="F45">
        <v>6</v>
      </c>
      <c r="G45" s="3">
        <v>46054.230833333335</v>
      </c>
      <c r="H45" t="s">
        <v>54</v>
      </c>
      <c r="I45" t="s">
        <v>35</v>
      </c>
      <c r="J45" t="s">
        <v>4</v>
      </c>
      <c r="K45" t="s">
        <v>66</v>
      </c>
      <c r="L45" t="s">
        <v>38</v>
      </c>
      <c r="M45">
        <v>471</v>
      </c>
      <c r="N45" s="7">
        <v>27576</v>
      </c>
      <c r="O45" s="7" t="str">
        <f>IF(OR(survey_data[[#This Row],[Full Resolution Time]]&gt;$AK$4, survey_data[[#This Row],[Full Resolution Time]] &lt; survey_data[[#This Row],[Lower Bound]]), "Outlier", "Normal")</f>
        <v>Normal</v>
      </c>
      <c r="P45" s="7">
        <f>_xlfn.QUARTILE.INC(survey_data[Full Resolution Time], 1)</f>
        <v>70.5</v>
      </c>
      <c r="Q45">
        <v>6</v>
      </c>
      <c r="R45">
        <v>8</v>
      </c>
      <c r="S45">
        <v>8</v>
      </c>
      <c r="T45">
        <v>8</v>
      </c>
      <c r="U45">
        <v>7</v>
      </c>
      <c r="V45">
        <v>7</v>
      </c>
      <c r="W45">
        <v>8</v>
      </c>
      <c r="X45">
        <v>5</v>
      </c>
      <c r="Y45">
        <v>3</v>
      </c>
      <c r="Z45" t="s">
        <v>100</v>
      </c>
      <c r="AA45" t="s">
        <v>145</v>
      </c>
      <c r="AB45" t="s">
        <v>109</v>
      </c>
      <c r="AC45" s="3" t="str">
        <f t="shared" si="2"/>
        <v>20-Nov-2023</v>
      </c>
      <c r="AD45" t="s">
        <v>52</v>
      </c>
      <c r="AE45" t="s">
        <v>219</v>
      </c>
      <c r="AF45" t="s">
        <v>44</v>
      </c>
      <c r="AG45" t="s">
        <v>45</v>
      </c>
      <c r="AH45" t="s">
        <v>115</v>
      </c>
    </row>
    <row r="46" spans="1:34" x14ac:dyDescent="0.35">
      <c r="A46">
        <v>20160561</v>
      </c>
      <c r="B46" s="3">
        <v>46054.756032974539</v>
      </c>
      <c r="C46" s="3">
        <v>46054.756597222222</v>
      </c>
      <c r="D46" s="3" t="str">
        <f t="shared" si="3"/>
        <v>Promoter</v>
      </c>
      <c r="E46" s="7">
        <f t="shared" si="1"/>
        <v>100</v>
      </c>
      <c r="F46">
        <v>9</v>
      </c>
      <c r="G46" s="3">
        <v>46055.087905092594</v>
      </c>
      <c r="H46" t="s">
        <v>34</v>
      </c>
      <c r="I46" t="s">
        <v>47</v>
      </c>
      <c r="J46" t="s">
        <v>95</v>
      </c>
      <c r="K46" t="s">
        <v>119</v>
      </c>
      <c r="L46" t="s">
        <v>38</v>
      </c>
      <c r="M46">
        <v>19</v>
      </c>
      <c r="N46" s="7">
        <v>19</v>
      </c>
      <c r="O46" s="7" t="str">
        <f>IF(OR(survey_data[[#This Row],[Full Resolution Time]]&gt;$AK$4, survey_data[[#This Row],[Full Resolution Time]] &lt; survey_data[[#This Row],[Lower Bound]]), "Outlier", "Normal")</f>
        <v>Outlier</v>
      </c>
      <c r="P46" s="7">
        <f>_xlfn.QUARTILE.INC(survey_data[Full Resolution Time], 1)</f>
        <v>70.5</v>
      </c>
      <c r="Q46">
        <v>9</v>
      </c>
      <c r="R46">
        <v>9</v>
      </c>
      <c r="S46">
        <v>9</v>
      </c>
      <c r="T46">
        <v>9</v>
      </c>
      <c r="U46">
        <v>9</v>
      </c>
      <c r="V46">
        <v>9</v>
      </c>
      <c r="W46">
        <v>9</v>
      </c>
      <c r="X46">
        <v>9</v>
      </c>
      <c r="Y46">
        <v>9</v>
      </c>
      <c r="Z46" t="s">
        <v>49</v>
      </c>
      <c r="AA46" t="s">
        <v>74</v>
      </c>
      <c r="AB46" t="s">
        <v>75</v>
      </c>
      <c r="AC46" s="3" t="str">
        <f t="shared" si="2"/>
        <v>16-Aug-2023</v>
      </c>
      <c r="AD46" t="s">
        <v>52</v>
      </c>
      <c r="AE46" t="s">
        <v>219</v>
      </c>
      <c r="AF46" t="s">
        <v>44</v>
      </c>
      <c r="AG46" t="s">
        <v>45</v>
      </c>
      <c r="AH46" t="s">
        <v>73</v>
      </c>
    </row>
    <row r="47" spans="1:34" x14ac:dyDescent="0.35">
      <c r="A47">
        <v>20157707</v>
      </c>
      <c r="B47" s="3">
        <v>46054.376669039353</v>
      </c>
      <c r="C47" s="3">
        <v>46054.756562499999</v>
      </c>
      <c r="D47" s="3" t="str">
        <f t="shared" si="3"/>
        <v>Promoter</v>
      </c>
      <c r="E47" s="7">
        <f t="shared" si="1"/>
        <v>100</v>
      </c>
      <c r="F47">
        <v>10</v>
      </c>
      <c r="G47" s="3">
        <v>46053.993217592593</v>
      </c>
      <c r="H47" t="s">
        <v>54</v>
      </c>
      <c r="I47" t="s">
        <v>35</v>
      </c>
      <c r="J47" t="s">
        <v>4</v>
      </c>
      <c r="K47" t="s">
        <v>69</v>
      </c>
      <c r="L47" t="s">
        <v>38</v>
      </c>
      <c r="M47">
        <v>631</v>
      </c>
      <c r="N47" s="7">
        <v>1861</v>
      </c>
      <c r="O47" s="7" t="str">
        <f>IF(OR(survey_data[[#This Row],[Full Resolution Time]]&gt;$AK$4, survey_data[[#This Row],[Full Resolution Time]] &lt; survey_data[[#This Row],[Lower Bound]]), "Outlier", "Normal")</f>
        <v>Normal</v>
      </c>
      <c r="P47" s="7">
        <f>_xlfn.QUARTILE.INC(survey_data[Full Resolution Time], 1)</f>
        <v>70.5</v>
      </c>
      <c r="Q47">
        <v>10</v>
      </c>
      <c r="R47">
        <v>10</v>
      </c>
      <c r="S47">
        <v>10</v>
      </c>
      <c r="T47">
        <v>10</v>
      </c>
      <c r="U47">
        <v>10</v>
      </c>
      <c r="V47">
        <v>10</v>
      </c>
      <c r="W47">
        <v>10</v>
      </c>
      <c r="X47">
        <v>10</v>
      </c>
      <c r="Y47">
        <v>10</v>
      </c>
      <c r="Z47" t="s">
        <v>49</v>
      </c>
      <c r="AA47" t="s">
        <v>145</v>
      </c>
      <c r="AB47" t="s">
        <v>109</v>
      </c>
      <c r="AC47" s="3" t="str">
        <f t="shared" si="2"/>
        <v>20-Nov-2023</v>
      </c>
      <c r="AD47" t="s">
        <v>52</v>
      </c>
      <c r="AE47" t="s">
        <v>219</v>
      </c>
      <c r="AF47" t="s">
        <v>44</v>
      </c>
      <c r="AG47" t="s">
        <v>45</v>
      </c>
      <c r="AH47" t="s">
        <v>126</v>
      </c>
    </row>
    <row r="48" spans="1:34" x14ac:dyDescent="0.35">
      <c r="A48">
        <v>20160525</v>
      </c>
      <c r="B48" s="3">
        <v>46054.751776192126</v>
      </c>
      <c r="C48" s="3">
        <v>46054.752395833333</v>
      </c>
      <c r="D48" s="3" t="str">
        <f t="shared" si="3"/>
        <v>Promoter</v>
      </c>
      <c r="E48" s="7">
        <f t="shared" si="1"/>
        <v>100</v>
      </c>
      <c r="F48">
        <v>9</v>
      </c>
      <c r="G48" s="3">
        <v>46055.084409722222</v>
      </c>
      <c r="H48" t="s">
        <v>34</v>
      </c>
      <c r="I48" t="s">
        <v>35</v>
      </c>
      <c r="J48" t="s">
        <v>95</v>
      </c>
      <c r="K48" t="s">
        <v>69</v>
      </c>
      <c r="L48" t="s">
        <v>38</v>
      </c>
      <c r="M48">
        <v>441</v>
      </c>
      <c r="N48" s="7">
        <v>3091</v>
      </c>
      <c r="O48" s="7" t="str">
        <f>IF(OR(survey_data[[#This Row],[Full Resolution Time]]&gt;$AK$4, survey_data[[#This Row],[Full Resolution Time]] &lt; survey_data[[#This Row],[Lower Bound]]), "Outlier", "Normal")</f>
        <v>Normal</v>
      </c>
      <c r="P48" s="7">
        <f>_xlfn.QUARTILE.INC(survey_data[Full Resolution Time], 1)</f>
        <v>70.5</v>
      </c>
      <c r="Q48">
        <v>6</v>
      </c>
      <c r="R48">
        <v>5</v>
      </c>
      <c r="S48">
        <v>9</v>
      </c>
      <c r="T48">
        <v>7</v>
      </c>
      <c r="U48">
        <v>8</v>
      </c>
      <c r="V48">
        <v>7</v>
      </c>
      <c r="W48">
        <v>8</v>
      </c>
      <c r="X48">
        <v>6</v>
      </c>
      <c r="Y48">
        <v>10</v>
      </c>
      <c r="Z48" t="s">
        <v>49</v>
      </c>
      <c r="AA48" t="s">
        <v>146</v>
      </c>
      <c r="AB48" t="s">
        <v>147</v>
      </c>
      <c r="AC48" s="3" t="str">
        <f t="shared" si="2"/>
        <v>21-Aug-2023</v>
      </c>
      <c r="AD48" t="s">
        <v>52</v>
      </c>
      <c r="AE48" t="s">
        <v>219</v>
      </c>
      <c r="AF48" t="s">
        <v>44</v>
      </c>
      <c r="AG48" t="s">
        <v>45</v>
      </c>
      <c r="AH48" t="s">
        <v>46</v>
      </c>
    </row>
    <row r="49" spans="1:34" x14ac:dyDescent="0.35">
      <c r="A49">
        <v>20135682</v>
      </c>
      <c r="B49" s="3">
        <v>46050.376217002318</v>
      </c>
      <c r="C49" s="3">
        <v>46054.751481481479</v>
      </c>
      <c r="D49" s="3" t="str">
        <f t="shared" si="3"/>
        <v>Passive</v>
      </c>
      <c r="E49" s="7">
        <f t="shared" si="1"/>
        <v>0</v>
      </c>
      <c r="F49">
        <v>7</v>
      </c>
      <c r="G49" s="3">
        <v>46050.578564814816</v>
      </c>
      <c r="H49" t="s">
        <v>54</v>
      </c>
      <c r="I49" t="s">
        <v>35</v>
      </c>
      <c r="J49" t="s">
        <v>48</v>
      </c>
      <c r="K49" t="s">
        <v>77</v>
      </c>
      <c r="L49" t="s">
        <v>62</v>
      </c>
      <c r="M49">
        <v>4</v>
      </c>
      <c r="N49" s="7">
        <v>95</v>
      </c>
      <c r="O49" s="7" t="str">
        <f>IF(OR(survey_data[[#This Row],[Full Resolution Time]]&gt;$AK$4, survey_data[[#This Row],[Full Resolution Time]] &lt; survey_data[[#This Row],[Lower Bound]]), "Outlier", "Normal")</f>
        <v>Normal</v>
      </c>
      <c r="P49" s="7">
        <f>_xlfn.QUARTILE.INC(survey_data[Full Resolution Time], 1)</f>
        <v>70.5</v>
      </c>
      <c r="Q49">
        <v>8</v>
      </c>
      <c r="R49">
        <v>7</v>
      </c>
      <c r="S49">
        <v>7</v>
      </c>
      <c r="T49">
        <v>6</v>
      </c>
      <c r="U49">
        <v>7</v>
      </c>
      <c r="V49">
        <v>6</v>
      </c>
      <c r="W49">
        <v>6</v>
      </c>
      <c r="X49">
        <v>5</v>
      </c>
      <c r="Y49">
        <v>5</v>
      </c>
      <c r="Z49" t="s">
        <v>49</v>
      </c>
      <c r="AA49" t="s">
        <v>148</v>
      </c>
      <c r="AB49" t="s">
        <v>149</v>
      </c>
      <c r="AC49" s="3" t="str">
        <f t="shared" si="2"/>
        <v>13-Apr-2025</v>
      </c>
      <c r="AD49" t="s">
        <v>52</v>
      </c>
      <c r="AE49" t="s">
        <v>220</v>
      </c>
      <c r="AF49" t="s">
        <v>44</v>
      </c>
      <c r="AG49" t="s">
        <v>45</v>
      </c>
      <c r="AH49" t="s">
        <v>53</v>
      </c>
    </row>
    <row r="50" spans="1:34" x14ac:dyDescent="0.35">
      <c r="A50">
        <v>20160510</v>
      </c>
      <c r="B50" s="3">
        <v>46054.748014606485</v>
      </c>
      <c r="C50" s="3">
        <v>46054.749768518515</v>
      </c>
      <c r="D50" s="3" t="str">
        <f t="shared" si="3"/>
        <v>Promoter</v>
      </c>
      <c r="E50" s="7">
        <f t="shared" si="1"/>
        <v>100</v>
      </c>
      <c r="F50">
        <v>10</v>
      </c>
      <c r="G50" s="3">
        <v>46055.077291666668</v>
      </c>
      <c r="H50" t="s">
        <v>34</v>
      </c>
      <c r="I50" t="s">
        <v>47</v>
      </c>
      <c r="J50" t="s">
        <v>95</v>
      </c>
      <c r="K50" t="s">
        <v>37</v>
      </c>
      <c r="L50" t="s">
        <v>38</v>
      </c>
      <c r="M50">
        <v>77</v>
      </c>
      <c r="N50" s="7">
        <v>121</v>
      </c>
      <c r="O50" s="7" t="str">
        <f>IF(OR(survey_data[[#This Row],[Full Resolution Time]]&gt;$AK$4, survey_data[[#This Row],[Full Resolution Time]] &lt; survey_data[[#This Row],[Lower Bound]]), "Outlier", "Normal")</f>
        <v>Normal</v>
      </c>
      <c r="P50" s="7">
        <f>_xlfn.QUARTILE.INC(survey_data[Full Resolution Time], 1)</f>
        <v>70.5</v>
      </c>
      <c r="Q50">
        <v>10</v>
      </c>
      <c r="R50">
        <v>10</v>
      </c>
      <c r="S50">
        <v>10</v>
      </c>
      <c r="T50">
        <v>10</v>
      </c>
      <c r="U50">
        <v>10</v>
      </c>
      <c r="V50">
        <v>10</v>
      </c>
      <c r="W50">
        <v>10</v>
      </c>
      <c r="X50">
        <v>10</v>
      </c>
      <c r="Y50">
        <v>10</v>
      </c>
      <c r="Z50" t="s">
        <v>49</v>
      </c>
      <c r="AA50" t="s">
        <v>150</v>
      </c>
      <c r="AB50" t="s">
        <v>80</v>
      </c>
      <c r="AC50" s="3" t="str">
        <f t="shared" si="2"/>
        <v>07-Aug-2024</v>
      </c>
      <c r="AD50" t="s">
        <v>52</v>
      </c>
      <c r="AE50" t="s">
        <v>219</v>
      </c>
      <c r="AF50" t="s">
        <v>44</v>
      </c>
      <c r="AG50" t="s">
        <v>45</v>
      </c>
      <c r="AH50" t="s">
        <v>73</v>
      </c>
    </row>
    <row r="51" spans="1:34" x14ac:dyDescent="0.35">
      <c r="A51">
        <v>20157796</v>
      </c>
      <c r="B51" s="3">
        <v>46054.376982986112</v>
      </c>
      <c r="C51" s="3">
        <v>46054.716377314813</v>
      </c>
      <c r="D51" s="3" t="str">
        <f t="shared" si="3"/>
        <v>Promoter</v>
      </c>
      <c r="E51" s="7">
        <f t="shared" si="1"/>
        <v>100</v>
      </c>
      <c r="F51">
        <v>10</v>
      </c>
      <c r="G51" s="3">
        <v>46054.354108796295</v>
      </c>
      <c r="H51" t="s">
        <v>34</v>
      </c>
      <c r="I51" t="s">
        <v>35</v>
      </c>
      <c r="J51" t="s">
        <v>48</v>
      </c>
      <c r="K51" t="s">
        <v>119</v>
      </c>
      <c r="L51" t="s">
        <v>62</v>
      </c>
      <c r="M51">
        <v>13</v>
      </c>
      <c r="N51" s="7">
        <v>53</v>
      </c>
      <c r="O51" s="7" t="str">
        <f>IF(OR(survey_data[[#This Row],[Full Resolution Time]]&gt;$AK$4, survey_data[[#This Row],[Full Resolution Time]] &lt; survey_data[[#This Row],[Lower Bound]]), "Outlier", "Normal")</f>
        <v>Outlier</v>
      </c>
      <c r="P51" s="7">
        <f>_xlfn.QUARTILE.INC(survey_data[Full Resolution Time], 1)</f>
        <v>70.5</v>
      </c>
      <c r="Q51">
        <v>10</v>
      </c>
      <c r="R51">
        <v>10</v>
      </c>
      <c r="S51">
        <v>10</v>
      </c>
      <c r="T51">
        <v>10</v>
      </c>
      <c r="U51">
        <v>10</v>
      </c>
      <c r="V51">
        <v>10</v>
      </c>
      <c r="W51">
        <v>10</v>
      </c>
      <c r="X51">
        <v>10</v>
      </c>
      <c r="Y51">
        <v>10</v>
      </c>
      <c r="Z51" t="s">
        <v>49</v>
      </c>
      <c r="AA51" t="s">
        <v>151</v>
      </c>
      <c r="AB51" t="s">
        <v>109</v>
      </c>
      <c r="AC51" s="3" t="str">
        <f t="shared" si="2"/>
        <v>20-Nov-2023</v>
      </c>
      <c r="AD51" t="s">
        <v>52</v>
      </c>
      <c r="AE51" t="s">
        <v>219</v>
      </c>
      <c r="AF51" t="s">
        <v>44</v>
      </c>
      <c r="AG51" t="s">
        <v>45</v>
      </c>
      <c r="AH51" t="s">
        <v>61</v>
      </c>
    </row>
    <row r="52" spans="1:34" x14ac:dyDescent="0.35">
      <c r="A52">
        <v>20157428</v>
      </c>
      <c r="B52" s="3">
        <v>46054.375735624999</v>
      </c>
      <c r="C52" s="3">
        <v>46054.712696759256</v>
      </c>
      <c r="D52" s="3" t="str">
        <f t="shared" si="3"/>
        <v>Detractor</v>
      </c>
      <c r="E52" s="7">
        <f t="shared" si="1"/>
        <v>-100</v>
      </c>
      <c r="F52">
        <v>0</v>
      </c>
      <c r="G52" s="3">
        <v>46054.588101851848</v>
      </c>
      <c r="H52" t="s">
        <v>58</v>
      </c>
      <c r="I52" t="s">
        <v>47</v>
      </c>
      <c r="J52" t="s">
        <v>4</v>
      </c>
      <c r="K52" t="s">
        <v>37</v>
      </c>
      <c r="L52" t="s">
        <v>38</v>
      </c>
      <c r="M52">
        <v>241</v>
      </c>
      <c r="N52" s="7">
        <v>573</v>
      </c>
      <c r="O52" s="7" t="str">
        <f>IF(OR(survey_data[[#This Row],[Full Resolution Time]]&gt;$AK$4, survey_data[[#This Row],[Full Resolution Time]] &lt; survey_data[[#This Row],[Lower Bound]]), "Outlier", "Normal")</f>
        <v>Normal</v>
      </c>
      <c r="P52" s="7">
        <f>_xlfn.QUARTILE.INC(survey_data[Full Resolution Time], 1)</f>
        <v>70.5</v>
      </c>
      <c r="Q52">
        <v>0</v>
      </c>
      <c r="R52">
        <v>2</v>
      </c>
      <c r="S52">
        <v>10</v>
      </c>
      <c r="T52" t="s">
        <v>39</v>
      </c>
      <c r="U52">
        <v>10</v>
      </c>
      <c r="V52" t="s">
        <v>39</v>
      </c>
      <c r="W52">
        <v>3</v>
      </c>
      <c r="X52">
        <v>0</v>
      </c>
      <c r="Y52">
        <v>0</v>
      </c>
      <c r="Z52" t="s">
        <v>100</v>
      </c>
      <c r="AA52" t="s">
        <v>98</v>
      </c>
      <c r="AB52" t="s">
        <v>99</v>
      </c>
      <c r="AC52" s="3" t="str">
        <f t="shared" si="2"/>
        <v>24-Sep-2024</v>
      </c>
      <c r="AD52" t="s">
        <v>52</v>
      </c>
      <c r="AE52" t="s">
        <v>219</v>
      </c>
      <c r="AF52" t="s">
        <v>44</v>
      </c>
      <c r="AG52" t="s">
        <v>45</v>
      </c>
      <c r="AH52" t="s">
        <v>73</v>
      </c>
    </row>
    <row r="53" spans="1:34" x14ac:dyDescent="0.35">
      <c r="A53">
        <v>20158494</v>
      </c>
      <c r="B53" s="3">
        <v>46054.379312847224</v>
      </c>
      <c r="C53" s="3">
        <v>46054.708101851851</v>
      </c>
      <c r="D53" s="3" t="str">
        <f t="shared" si="3"/>
        <v>Promoter</v>
      </c>
      <c r="E53" s="7">
        <f t="shared" si="1"/>
        <v>100</v>
      </c>
      <c r="F53">
        <v>10</v>
      </c>
      <c r="G53" s="3">
        <v>46054.456145833334</v>
      </c>
      <c r="H53" t="s">
        <v>34</v>
      </c>
      <c r="I53" t="s">
        <v>35</v>
      </c>
      <c r="J53" t="s">
        <v>4</v>
      </c>
      <c r="K53" t="s">
        <v>37</v>
      </c>
      <c r="L53" t="s">
        <v>38</v>
      </c>
      <c r="M53">
        <v>810</v>
      </c>
      <c r="N53" s="7">
        <v>19160</v>
      </c>
      <c r="O53" s="7" t="str">
        <f>IF(OR(survey_data[[#This Row],[Full Resolution Time]]&gt;$AK$4, survey_data[[#This Row],[Full Resolution Time]] &lt; survey_data[[#This Row],[Lower Bound]]), "Outlier", "Normal")</f>
        <v>Normal</v>
      </c>
      <c r="P53" s="7">
        <f>_xlfn.QUARTILE.INC(survey_data[Full Resolution Time], 1)</f>
        <v>70.5</v>
      </c>
      <c r="Q53">
        <v>9</v>
      </c>
      <c r="R53">
        <v>10</v>
      </c>
      <c r="S53">
        <v>10</v>
      </c>
      <c r="T53">
        <v>10</v>
      </c>
      <c r="U53">
        <v>9</v>
      </c>
      <c r="V53">
        <v>10</v>
      </c>
      <c r="W53">
        <v>10</v>
      </c>
      <c r="X53">
        <v>10</v>
      </c>
      <c r="Y53">
        <v>5</v>
      </c>
      <c r="Z53" t="s">
        <v>49</v>
      </c>
      <c r="AA53" t="s">
        <v>152</v>
      </c>
      <c r="AB53" t="s">
        <v>109</v>
      </c>
      <c r="AC53" s="3" t="str">
        <f t="shared" si="2"/>
        <v>20-Nov-2023</v>
      </c>
      <c r="AD53" t="s">
        <v>52</v>
      </c>
      <c r="AE53" t="s">
        <v>219</v>
      </c>
      <c r="AF53" t="s">
        <v>44</v>
      </c>
      <c r="AG53" t="s">
        <v>45</v>
      </c>
      <c r="AH53" t="s">
        <v>73</v>
      </c>
    </row>
    <row r="54" spans="1:34" x14ac:dyDescent="0.35">
      <c r="A54">
        <v>20125499</v>
      </c>
      <c r="B54" s="3">
        <v>46048.379436979165</v>
      </c>
      <c r="C54" s="3">
        <v>46054.680914351855</v>
      </c>
      <c r="D54" s="3" t="str">
        <f t="shared" si="3"/>
        <v>Detractor</v>
      </c>
      <c r="E54" s="7">
        <f t="shared" si="1"/>
        <v>-100</v>
      </c>
      <c r="F54">
        <v>3</v>
      </c>
      <c r="G54" s="3">
        <v>46047.996168981481</v>
      </c>
      <c r="H54" t="s">
        <v>54</v>
      </c>
      <c r="I54" t="s">
        <v>35</v>
      </c>
      <c r="J54" t="s">
        <v>48</v>
      </c>
      <c r="K54" t="s">
        <v>110</v>
      </c>
      <c r="L54" t="s">
        <v>38</v>
      </c>
      <c r="M54">
        <v>34</v>
      </c>
      <c r="N54" s="7">
        <v>9473</v>
      </c>
      <c r="O54" s="7" t="str">
        <f>IF(OR(survey_data[[#This Row],[Full Resolution Time]]&gt;$AK$4, survey_data[[#This Row],[Full Resolution Time]] &lt; survey_data[[#This Row],[Lower Bound]]), "Outlier", "Normal")</f>
        <v>Normal</v>
      </c>
      <c r="P54" s="7">
        <f>_xlfn.QUARTILE.INC(survey_data[Full Resolution Time], 1)</f>
        <v>70.5</v>
      </c>
      <c r="Q54">
        <v>3</v>
      </c>
      <c r="R54">
        <v>10</v>
      </c>
      <c r="S54">
        <v>5</v>
      </c>
      <c r="T54">
        <v>5</v>
      </c>
      <c r="U54">
        <v>10</v>
      </c>
      <c r="V54">
        <v>8</v>
      </c>
      <c r="W54">
        <v>8</v>
      </c>
      <c r="X54">
        <v>0</v>
      </c>
      <c r="Y54">
        <v>0</v>
      </c>
      <c r="Z54" t="s">
        <v>100</v>
      </c>
      <c r="AA54" t="s">
        <v>101</v>
      </c>
      <c r="AB54" t="s">
        <v>102</v>
      </c>
      <c r="AC54" s="3" t="str">
        <f t="shared" si="2"/>
        <v>23-May-2023</v>
      </c>
      <c r="AD54" t="s">
        <v>52</v>
      </c>
      <c r="AE54" t="s">
        <v>220</v>
      </c>
      <c r="AF54" t="s">
        <v>44</v>
      </c>
      <c r="AG54" t="s">
        <v>45</v>
      </c>
      <c r="AH54" t="s">
        <v>126</v>
      </c>
    </row>
    <row r="55" spans="1:34" x14ac:dyDescent="0.35">
      <c r="A55">
        <v>20160194</v>
      </c>
      <c r="B55" s="3">
        <v>46054.662350671293</v>
      </c>
      <c r="C55" s="3">
        <v>46054.665486111109</v>
      </c>
      <c r="D55" s="3" t="str">
        <f t="shared" si="3"/>
        <v>Promoter</v>
      </c>
      <c r="E55" s="7">
        <f t="shared" si="1"/>
        <v>100</v>
      </c>
      <c r="F55">
        <v>10</v>
      </c>
      <c r="G55" s="3">
        <v>46054.994606481479</v>
      </c>
      <c r="H55" t="s">
        <v>34</v>
      </c>
      <c r="I55" t="s">
        <v>35</v>
      </c>
      <c r="J55" t="s">
        <v>95</v>
      </c>
      <c r="K55" t="s">
        <v>69</v>
      </c>
      <c r="L55" t="s">
        <v>38</v>
      </c>
      <c r="M55">
        <v>9</v>
      </c>
      <c r="N55" s="7">
        <v>9</v>
      </c>
      <c r="O55" s="7" t="str">
        <f>IF(OR(survey_data[[#This Row],[Full Resolution Time]]&gt;$AK$4, survey_data[[#This Row],[Full Resolution Time]] &lt; survey_data[[#This Row],[Lower Bound]]), "Outlier", "Normal")</f>
        <v>Outlier</v>
      </c>
      <c r="P55" s="7">
        <f>_xlfn.QUARTILE.INC(survey_data[Full Resolution Time], 1)</f>
        <v>70.5</v>
      </c>
      <c r="Q55">
        <v>10</v>
      </c>
      <c r="R55">
        <v>10</v>
      </c>
      <c r="S55">
        <v>10</v>
      </c>
      <c r="T55">
        <v>10</v>
      </c>
      <c r="U55">
        <v>10</v>
      </c>
      <c r="V55">
        <v>10</v>
      </c>
      <c r="W55">
        <v>10</v>
      </c>
      <c r="X55">
        <v>10</v>
      </c>
      <c r="Y55">
        <v>10</v>
      </c>
      <c r="Z55" t="s">
        <v>49</v>
      </c>
      <c r="AA55" t="s">
        <v>153</v>
      </c>
      <c r="AB55" t="s">
        <v>154</v>
      </c>
      <c r="AC55" s="3" t="str">
        <f t="shared" si="2"/>
        <v>16-May-2024</v>
      </c>
      <c r="AD55" t="s">
        <v>52</v>
      </c>
      <c r="AE55" t="s">
        <v>220</v>
      </c>
      <c r="AF55" t="s">
        <v>44</v>
      </c>
      <c r="AG55" t="s">
        <v>45</v>
      </c>
      <c r="AH55" t="s">
        <v>65</v>
      </c>
    </row>
    <row r="56" spans="1:34" x14ac:dyDescent="0.35">
      <c r="A56">
        <v>20157815</v>
      </c>
      <c r="B56" s="3">
        <v>46054.377048807874</v>
      </c>
      <c r="C56" s="3">
        <v>46054.656284722223</v>
      </c>
      <c r="D56" s="3" t="str">
        <f t="shared" si="3"/>
        <v>Detractor</v>
      </c>
      <c r="E56" s="7">
        <f t="shared" si="1"/>
        <v>-100</v>
      </c>
      <c r="F56">
        <v>0</v>
      </c>
      <c r="G56" s="3">
        <v>46054.33457175926</v>
      </c>
      <c r="H56" t="s">
        <v>34</v>
      </c>
      <c r="I56" t="s">
        <v>35</v>
      </c>
      <c r="J56" t="s">
        <v>4</v>
      </c>
      <c r="K56" t="s">
        <v>69</v>
      </c>
      <c r="L56" t="s">
        <v>62</v>
      </c>
      <c r="M56">
        <v>60</v>
      </c>
      <c r="N56" s="7">
        <v>13275</v>
      </c>
      <c r="O56" s="7" t="str">
        <f>IF(OR(survey_data[[#This Row],[Full Resolution Time]]&gt;$AK$4, survey_data[[#This Row],[Full Resolution Time]] &lt; survey_data[[#This Row],[Lower Bound]]), "Outlier", "Normal")</f>
        <v>Normal</v>
      </c>
      <c r="P56" s="7">
        <f>_xlfn.QUARTILE.INC(survey_data[Full Resolution Time], 1)</f>
        <v>70.5</v>
      </c>
      <c r="Q56">
        <v>0</v>
      </c>
      <c r="R56">
        <v>0</v>
      </c>
      <c r="S56">
        <v>0</v>
      </c>
      <c r="T56">
        <v>0</v>
      </c>
      <c r="U56">
        <v>0</v>
      </c>
      <c r="V56">
        <v>0</v>
      </c>
      <c r="W56">
        <v>0</v>
      </c>
      <c r="X56">
        <v>0</v>
      </c>
      <c r="Y56">
        <v>0</v>
      </c>
      <c r="Z56" t="s">
        <v>100</v>
      </c>
      <c r="AA56" t="s">
        <v>155</v>
      </c>
      <c r="AB56" t="s">
        <v>156</v>
      </c>
      <c r="AC56" s="3" t="str">
        <f t="shared" si="2"/>
        <v>30-Aug-2024</v>
      </c>
      <c r="AD56" t="s">
        <v>52</v>
      </c>
      <c r="AE56" t="s">
        <v>219</v>
      </c>
      <c r="AF56" t="s">
        <v>85</v>
      </c>
      <c r="AG56" t="s">
        <v>45</v>
      </c>
      <c r="AH56" t="s">
        <v>86</v>
      </c>
    </row>
    <row r="57" spans="1:34" x14ac:dyDescent="0.35">
      <c r="A57">
        <v>20135538</v>
      </c>
      <c r="B57" s="3">
        <v>46050.37574048611</v>
      </c>
      <c r="C57" s="3">
        <v>46054.626608796294</v>
      </c>
      <c r="D57" s="3" t="str">
        <f t="shared" si="3"/>
        <v>Detractor</v>
      </c>
      <c r="E57" s="7">
        <f t="shared" si="1"/>
        <v>-100</v>
      </c>
      <c r="F57">
        <v>5</v>
      </c>
      <c r="G57" s="3">
        <v>46050.29960648148</v>
      </c>
      <c r="H57" t="s">
        <v>54</v>
      </c>
      <c r="I57" t="s">
        <v>35</v>
      </c>
      <c r="J57" t="s">
        <v>4</v>
      </c>
      <c r="K57" t="s">
        <v>55</v>
      </c>
      <c r="L57" t="s">
        <v>62</v>
      </c>
      <c r="M57">
        <v>28</v>
      </c>
      <c r="N57" s="7">
        <v>28</v>
      </c>
      <c r="O57" s="7" t="str">
        <f>IF(OR(survey_data[[#This Row],[Full Resolution Time]]&gt;$AK$4, survey_data[[#This Row],[Full Resolution Time]] &lt; survey_data[[#This Row],[Lower Bound]]), "Outlier", "Normal")</f>
        <v>Outlier</v>
      </c>
      <c r="P57" s="7">
        <f>_xlfn.QUARTILE.INC(survey_data[Full Resolution Time], 1)</f>
        <v>70.5</v>
      </c>
      <c r="Q57">
        <v>7</v>
      </c>
      <c r="R57">
        <v>7</v>
      </c>
      <c r="S57">
        <v>7</v>
      </c>
      <c r="T57">
        <v>7</v>
      </c>
      <c r="U57">
        <v>5</v>
      </c>
      <c r="V57">
        <v>7</v>
      </c>
      <c r="W57">
        <v>6</v>
      </c>
      <c r="X57">
        <v>6</v>
      </c>
      <c r="Y57">
        <v>6</v>
      </c>
      <c r="Z57" t="s">
        <v>40</v>
      </c>
      <c r="AA57" t="s">
        <v>157</v>
      </c>
      <c r="AB57" t="s">
        <v>102</v>
      </c>
      <c r="AC57" s="3" t="str">
        <f t="shared" si="2"/>
        <v>23-May-2023</v>
      </c>
      <c r="AD57" t="s">
        <v>52</v>
      </c>
      <c r="AE57" t="s">
        <v>220</v>
      </c>
      <c r="AF57" t="s">
        <v>44</v>
      </c>
      <c r="AG57" t="s">
        <v>45</v>
      </c>
      <c r="AH57" t="s">
        <v>73</v>
      </c>
    </row>
    <row r="58" spans="1:34" x14ac:dyDescent="0.35">
      <c r="A58">
        <v>20136771</v>
      </c>
      <c r="B58" s="3">
        <v>46050.379832962964</v>
      </c>
      <c r="C58" s="3">
        <v>46054.580590277779</v>
      </c>
      <c r="D58" s="3" t="str">
        <f t="shared" si="3"/>
        <v>Promoter</v>
      </c>
      <c r="E58" s="7">
        <f t="shared" si="1"/>
        <v>100</v>
      </c>
      <c r="F58">
        <v>10</v>
      </c>
      <c r="G58" s="3">
        <v>46050.045185185183</v>
      </c>
      <c r="H58" t="s">
        <v>54</v>
      </c>
      <c r="I58" t="s">
        <v>35</v>
      </c>
      <c r="J58" t="s">
        <v>4</v>
      </c>
      <c r="K58" t="s">
        <v>55</v>
      </c>
      <c r="L58" t="s">
        <v>38</v>
      </c>
      <c r="M58">
        <v>526</v>
      </c>
      <c r="N58" s="7">
        <v>8654</v>
      </c>
      <c r="O58" s="7" t="str">
        <f>IF(OR(survey_data[[#This Row],[Full Resolution Time]]&gt;$AK$4, survey_data[[#This Row],[Full Resolution Time]] &lt; survey_data[[#This Row],[Lower Bound]]), "Outlier", "Normal")</f>
        <v>Normal</v>
      </c>
      <c r="P58" s="7">
        <f>_xlfn.QUARTILE.INC(survey_data[Full Resolution Time], 1)</f>
        <v>70.5</v>
      </c>
      <c r="Q58">
        <v>10</v>
      </c>
      <c r="R58">
        <v>10</v>
      </c>
      <c r="S58" t="s">
        <v>39</v>
      </c>
      <c r="T58">
        <v>10</v>
      </c>
      <c r="U58">
        <v>10</v>
      </c>
      <c r="V58">
        <v>10</v>
      </c>
      <c r="W58">
        <v>10</v>
      </c>
      <c r="X58">
        <v>8</v>
      </c>
      <c r="Y58">
        <v>10</v>
      </c>
      <c r="Z58" t="s">
        <v>49</v>
      </c>
      <c r="AA58" t="s">
        <v>158</v>
      </c>
      <c r="AB58" t="s">
        <v>57</v>
      </c>
      <c r="AC58" s="3" t="str">
        <f t="shared" si="2"/>
        <v>02-Nov-2020</v>
      </c>
      <c r="AD58" t="s">
        <v>52</v>
      </c>
      <c r="AE58" t="s">
        <v>219</v>
      </c>
      <c r="AF58" t="s">
        <v>44</v>
      </c>
      <c r="AG58" t="s">
        <v>45</v>
      </c>
      <c r="AH58" t="s">
        <v>53</v>
      </c>
    </row>
    <row r="59" spans="1:34" x14ac:dyDescent="0.35">
      <c r="A59">
        <v>20159696</v>
      </c>
      <c r="B59" s="3">
        <v>46054.544177060183</v>
      </c>
      <c r="C59" s="3">
        <v>46054.544942129629</v>
      </c>
      <c r="D59" s="3" t="str">
        <f t="shared" si="3"/>
        <v>Detractor</v>
      </c>
      <c r="E59" s="7">
        <f t="shared" si="1"/>
        <v>-100</v>
      </c>
      <c r="F59">
        <v>0</v>
      </c>
      <c r="G59" s="3">
        <v>46054.852337962962</v>
      </c>
      <c r="H59" t="s">
        <v>34</v>
      </c>
      <c r="I59" t="s">
        <v>47</v>
      </c>
      <c r="J59" t="s">
        <v>95</v>
      </c>
      <c r="K59" t="s">
        <v>37</v>
      </c>
      <c r="L59" t="s">
        <v>38</v>
      </c>
      <c r="M59">
        <v>579</v>
      </c>
      <c r="N59" s="7">
        <v>1183</v>
      </c>
      <c r="O59" s="7" t="str">
        <f>IF(OR(survey_data[[#This Row],[Full Resolution Time]]&gt;$AK$4, survey_data[[#This Row],[Full Resolution Time]] &lt; survey_data[[#This Row],[Lower Bound]]), "Outlier", "Normal")</f>
        <v>Normal</v>
      </c>
      <c r="P59" s="7">
        <f>_xlfn.QUARTILE.INC(survey_data[Full Resolution Time], 1)</f>
        <v>70.5</v>
      </c>
      <c r="Q59">
        <v>0</v>
      </c>
      <c r="R59">
        <v>0</v>
      </c>
      <c r="S59">
        <v>0</v>
      </c>
      <c r="T59">
        <v>0</v>
      </c>
      <c r="U59">
        <v>0</v>
      </c>
      <c r="V59">
        <v>0</v>
      </c>
      <c r="W59">
        <v>0</v>
      </c>
      <c r="X59">
        <v>0</v>
      </c>
      <c r="Y59">
        <v>0</v>
      </c>
      <c r="Z59" t="s">
        <v>100</v>
      </c>
      <c r="AA59" t="s">
        <v>159</v>
      </c>
      <c r="AB59" t="s">
        <v>68</v>
      </c>
      <c r="AC59" s="3" t="str">
        <f t="shared" si="2"/>
        <v>01-Sep-2024</v>
      </c>
      <c r="AD59" t="s">
        <v>52</v>
      </c>
      <c r="AE59" t="s">
        <v>219</v>
      </c>
      <c r="AF59" t="s">
        <v>44</v>
      </c>
      <c r="AG59" t="s">
        <v>45</v>
      </c>
      <c r="AH59" t="s">
        <v>65</v>
      </c>
    </row>
    <row r="60" spans="1:34" x14ac:dyDescent="0.35">
      <c r="A60">
        <v>20157637</v>
      </c>
      <c r="B60" s="3">
        <v>46054.376456678241</v>
      </c>
      <c r="C60" s="3">
        <v>46054.52375</v>
      </c>
      <c r="D60" s="3" t="str">
        <f t="shared" si="3"/>
        <v>Promoter</v>
      </c>
      <c r="E60" s="7">
        <f t="shared" si="1"/>
        <v>100</v>
      </c>
      <c r="F60">
        <v>10</v>
      </c>
      <c r="G60" s="3">
        <v>46054.323657407411</v>
      </c>
      <c r="H60" t="s">
        <v>160</v>
      </c>
      <c r="I60" t="s">
        <v>35</v>
      </c>
      <c r="J60" t="s">
        <v>4</v>
      </c>
      <c r="K60" t="s">
        <v>37</v>
      </c>
      <c r="L60" t="s">
        <v>38</v>
      </c>
      <c r="M60">
        <v>76</v>
      </c>
      <c r="N60" s="7">
        <v>333</v>
      </c>
      <c r="O60" s="7" t="str">
        <f>IF(OR(survey_data[[#This Row],[Full Resolution Time]]&gt;$AK$4, survey_data[[#This Row],[Full Resolution Time]] &lt; survey_data[[#This Row],[Lower Bound]]), "Outlier", "Normal")</f>
        <v>Normal</v>
      </c>
      <c r="P60" s="7">
        <f>_xlfn.QUARTILE.INC(survey_data[Full Resolution Time], 1)</f>
        <v>70.5</v>
      </c>
      <c r="Q60">
        <v>10</v>
      </c>
      <c r="R60">
        <v>10</v>
      </c>
      <c r="S60">
        <v>10</v>
      </c>
      <c r="T60">
        <v>10</v>
      </c>
      <c r="U60">
        <v>10</v>
      </c>
      <c r="V60">
        <v>10</v>
      </c>
      <c r="W60">
        <v>10</v>
      </c>
      <c r="X60">
        <v>9</v>
      </c>
      <c r="Y60">
        <v>10</v>
      </c>
      <c r="Z60" t="s">
        <v>49</v>
      </c>
      <c r="AA60" t="s">
        <v>161</v>
      </c>
      <c r="AB60" t="s">
        <v>154</v>
      </c>
      <c r="AC60" s="3" t="str">
        <f t="shared" si="2"/>
        <v>16-May-2024</v>
      </c>
      <c r="AD60" t="s">
        <v>52</v>
      </c>
      <c r="AE60" t="s">
        <v>219</v>
      </c>
      <c r="AF60" t="s">
        <v>44</v>
      </c>
      <c r="AG60" t="s">
        <v>45</v>
      </c>
      <c r="AH60" t="s">
        <v>73</v>
      </c>
    </row>
    <row r="61" spans="1:34" x14ac:dyDescent="0.35">
      <c r="A61">
        <v>20136498</v>
      </c>
      <c r="B61" s="3">
        <v>46050.378805532404</v>
      </c>
      <c r="C61" s="3">
        <v>46054.497071759259</v>
      </c>
      <c r="D61" s="3" t="str">
        <f t="shared" si="3"/>
        <v>Detractor</v>
      </c>
      <c r="E61" s="7">
        <f t="shared" si="1"/>
        <v>-100</v>
      </c>
      <c r="F61">
        <v>0</v>
      </c>
      <c r="G61" s="3">
        <v>46049.751238425924</v>
      </c>
      <c r="H61" t="s">
        <v>34</v>
      </c>
      <c r="I61" t="s">
        <v>47</v>
      </c>
      <c r="J61" t="s">
        <v>4</v>
      </c>
      <c r="K61" t="s">
        <v>37</v>
      </c>
      <c r="L61" t="s">
        <v>62</v>
      </c>
      <c r="M61">
        <v>64</v>
      </c>
      <c r="N61" s="7">
        <v>13109</v>
      </c>
      <c r="O61" s="7" t="str">
        <f>IF(OR(survey_data[[#This Row],[Full Resolution Time]]&gt;$AK$4, survey_data[[#This Row],[Full Resolution Time]] &lt; survey_data[[#This Row],[Lower Bound]]), "Outlier", "Normal")</f>
        <v>Normal</v>
      </c>
      <c r="P61" s="7">
        <f>_xlfn.QUARTILE.INC(survey_data[Full Resolution Time], 1)</f>
        <v>70.5</v>
      </c>
      <c r="Q61">
        <v>0</v>
      </c>
      <c r="R61">
        <v>0</v>
      </c>
      <c r="S61">
        <v>0</v>
      </c>
      <c r="T61">
        <v>0</v>
      </c>
      <c r="U61">
        <v>0</v>
      </c>
      <c r="V61">
        <v>0</v>
      </c>
      <c r="W61">
        <v>0</v>
      </c>
      <c r="X61">
        <v>0</v>
      </c>
      <c r="Y61">
        <v>0</v>
      </c>
      <c r="Z61" t="s">
        <v>100</v>
      </c>
      <c r="AA61" t="s">
        <v>162</v>
      </c>
      <c r="AB61" t="s">
        <v>163</v>
      </c>
      <c r="AC61" s="3" t="str">
        <f t="shared" si="2"/>
        <v>19-Oct-2022</v>
      </c>
      <c r="AD61" t="s">
        <v>52</v>
      </c>
      <c r="AE61" t="s">
        <v>220</v>
      </c>
      <c r="AF61" t="s">
        <v>85</v>
      </c>
      <c r="AG61" t="s">
        <v>45</v>
      </c>
      <c r="AH61" t="s">
        <v>86</v>
      </c>
    </row>
    <row r="62" spans="1:34" x14ac:dyDescent="0.35">
      <c r="A62">
        <v>20135408</v>
      </c>
      <c r="B62" s="3">
        <v>46050.375321747684</v>
      </c>
      <c r="C62" s="3">
        <v>46054.472442129627</v>
      </c>
      <c r="D62" s="3" t="str">
        <f t="shared" si="3"/>
        <v>Detractor</v>
      </c>
      <c r="E62" s="7">
        <f t="shared" si="1"/>
        <v>-100</v>
      </c>
      <c r="F62">
        <v>2</v>
      </c>
      <c r="G62" s="3">
        <v>46050.458958333336</v>
      </c>
      <c r="H62" t="s">
        <v>34</v>
      </c>
      <c r="I62" t="s">
        <v>35</v>
      </c>
      <c r="J62" t="s">
        <v>48</v>
      </c>
      <c r="K62" t="s">
        <v>66</v>
      </c>
      <c r="L62" t="s">
        <v>38</v>
      </c>
      <c r="M62">
        <v>1133</v>
      </c>
      <c r="N62" s="7">
        <v>47024</v>
      </c>
      <c r="O62" s="7" t="str">
        <f>IF(OR(survey_data[[#This Row],[Full Resolution Time]]&gt;$AK$4, survey_data[[#This Row],[Full Resolution Time]] &lt; survey_data[[#This Row],[Lower Bound]]), "Outlier", "Normal")</f>
        <v>Outlier</v>
      </c>
      <c r="P62" s="7">
        <f>_xlfn.QUARTILE.INC(survey_data[Full Resolution Time], 1)</f>
        <v>70.5</v>
      </c>
      <c r="Q62">
        <v>0</v>
      </c>
      <c r="R62">
        <v>0</v>
      </c>
      <c r="S62">
        <v>7</v>
      </c>
      <c r="T62">
        <v>1</v>
      </c>
      <c r="U62">
        <v>10</v>
      </c>
      <c r="V62">
        <v>0</v>
      </c>
      <c r="W62">
        <v>0</v>
      </c>
      <c r="X62">
        <v>0</v>
      </c>
      <c r="Y62">
        <v>0</v>
      </c>
      <c r="Z62" t="s">
        <v>100</v>
      </c>
      <c r="AA62" t="s">
        <v>164</v>
      </c>
      <c r="AB62" t="s">
        <v>97</v>
      </c>
      <c r="AC62" s="3" t="str">
        <f t="shared" si="2"/>
        <v>02-Jun-2025</v>
      </c>
      <c r="AD62" t="s">
        <v>52</v>
      </c>
      <c r="AE62" t="s">
        <v>220</v>
      </c>
      <c r="AF62" t="s">
        <v>85</v>
      </c>
      <c r="AG62" t="s">
        <v>45</v>
      </c>
      <c r="AH62" t="s">
        <v>86</v>
      </c>
    </row>
    <row r="63" spans="1:34" x14ac:dyDescent="0.35">
      <c r="A63">
        <v>20158352</v>
      </c>
      <c r="B63" s="3">
        <v>46054.37877408565</v>
      </c>
      <c r="C63" s="3">
        <v>46054.462893518517</v>
      </c>
      <c r="D63" s="3" t="str">
        <f t="shared" si="3"/>
        <v>Passive</v>
      </c>
      <c r="E63" s="7">
        <f t="shared" si="1"/>
        <v>0</v>
      </c>
      <c r="F63">
        <v>8</v>
      </c>
      <c r="G63" s="3">
        <v>46053.824282407404</v>
      </c>
      <c r="H63" t="s">
        <v>34</v>
      </c>
      <c r="I63" t="s">
        <v>35</v>
      </c>
      <c r="J63" t="s">
        <v>48</v>
      </c>
      <c r="K63" t="s">
        <v>55</v>
      </c>
      <c r="L63" t="s">
        <v>62</v>
      </c>
      <c r="M63">
        <v>61</v>
      </c>
      <c r="N63" s="7">
        <v>93</v>
      </c>
      <c r="O63" s="7" t="str">
        <f>IF(OR(survey_data[[#This Row],[Full Resolution Time]]&gt;$AK$4, survey_data[[#This Row],[Full Resolution Time]] &lt; survey_data[[#This Row],[Lower Bound]]), "Outlier", "Normal")</f>
        <v>Normal</v>
      </c>
      <c r="P63" s="7">
        <f>_xlfn.QUARTILE.INC(survey_data[Full Resolution Time], 1)</f>
        <v>70.5</v>
      </c>
      <c r="Q63">
        <v>8</v>
      </c>
      <c r="R63">
        <v>8</v>
      </c>
      <c r="S63">
        <v>8</v>
      </c>
      <c r="T63">
        <v>8</v>
      </c>
      <c r="U63">
        <v>8</v>
      </c>
      <c r="V63">
        <v>8</v>
      </c>
      <c r="W63">
        <v>8</v>
      </c>
      <c r="X63">
        <v>10</v>
      </c>
      <c r="Y63">
        <v>4</v>
      </c>
      <c r="Z63" t="s">
        <v>49</v>
      </c>
      <c r="AA63" t="s">
        <v>165</v>
      </c>
      <c r="AB63" t="s">
        <v>166</v>
      </c>
      <c r="AC63" s="3" t="str">
        <f t="shared" si="2"/>
        <v>23-May-2024</v>
      </c>
      <c r="AD63" t="s">
        <v>52</v>
      </c>
      <c r="AE63" t="s">
        <v>219</v>
      </c>
      <c r="AF63" t="s">
        <v>44</v>
      </c>
      <c r="AG63" t="s">
        <v>45</v>
      </c>
      <c r="AH63" t="s">
        <v>53</v>
      </c>
    </row>
    <row r="64" spans="1:34" x14ac:dyDescent="0.35">
      <c r="A64">
        <v>20158702</v>
      </c>
      <c r="B64" s="3">
        <v>46054.380122245369</v>
      </c>
      <c r="C64" s="3">
        <v>46054.462592592594</v>
      </c>
      <c r="D64" s="3" t="str">
        <f t="shared" si="3"/>
        <v>Detractor</v>
      </c>
      <c r="E64" s="7">
        <f t="shared" si="1"/>
        <v>-100</v>
      </c>
      <c r="F64">
        <v>0</v>
      </c>
      <c r="G64" s="3">
        <v>46053.793888888889</v>
      </c>
      <c r="H64" t="s">
        <v>34</v>
      </c>
      <c r="I64" t="s">
        <v>47</v>
      </c>
      <c r="J64" t="s">
        <v>4</v>
      </c>
      <c r="K64" t="s">
        <v>37</v>
      </c>
      <c r="L64" t="s">
        <v>62</v>
      </c>
      <c r="M64">
        <v>72</v>
      </c>
      <c r="N64" s="7">
        <v>13110</v>
      </c>
      <c r="O64" s="7" t="str">
        <f>IF(OR(survey_data[[#This Row],[Full Resolution Time]]&gt;$AK$4, survey_data[[#This Row],[Full Resolution Time]] &lt; survey_data[[#This Row],[Lower Bound]]), "Outlier", "Normal")</f>
        <v>Normal</v>
      </c>
      <c r="P64" s="7">
        <f>_xlfn.QUARTILE.INC(survey_data[Full Resolution Time], 1)</f>
        <v>70.5</v>
      </c>
      <c r="Q64">
        <v>0</v>
      </c>
      <c r="R64">
        <v>0</v>
      </c>
      <c r="S64">
        <v>10</v>
      </c>
      <c r="T64">
        <v>0</v>
      </c>
      <c r="U64">
        <v>0</v>
      </c>
      <c r="V64">
        <v>5</v>
      </c>
      <c r="W64">
        <v>0</v>
      </c>
      <c r="X64">
        <v>0</v>
      </c>
      <c r="Y64">
        <v>0</v>
      </c>
      <c r="Z64" t="s">
        <v>100</v>
      </c>
      <c r="AA64" t="s">
        <v>167</v>
      </c>
      <c r="AB64" t="s">
        <v>154</v>
      </c>
      <c r="AC64" s="3" t="str">
        <f t="shared" si="2"/>
        <v>16-May-2024</v>
      </c>
      <c r="AD64" t="s">
        <v>52</v>
      </c>
      <c r="AE64" t="s">
        <v>220</v>
      </c>
      <c r="AF64" t="s">
        <v>85</v>
      </c>
      <c r="AG64" t="s">
        <v>45</v>
      </c>
      <c r="AH64" t="s">
        <v>86</v>
      </c>
    </row>
    <row r="65" spans="1:34" x14ac:dyDescent="0.35">
      <c r="A65">
        <v>20157579</v>
      </c>
      <c r="B65" s="3">
        <v>46054.376219953701</v>
      </c>
      <c r="C65" s="3">
        <v>46054.460081018522</v>
      </c>
      <c r="D65" s="3" t="str">
        <f t="shared" si="3"/>
        <v>Promoter</v>
      </c>
      <c r="E65" s="7">
        <f t="shared" si="1"/>
        <v>100</v>
      </c>
      <c r="F65">
        <v>10</v>
      </c>
      <c r="G65" s="3">
        <v>46054.203460648147</v>
      </c>
      <c r="H65" t="s">
        <v>34</v>
      </c>
      <c r="I65" t="s">
        <v>35</v>
      </c>
      <c r="J65" t="s">
        <v>4</v>
      </c>
      <c r="K65" t="s">
        <v>66</v>
      </c>
      <c r="L65" t="s">
        <v>38</v>
      </c>
      <c r="M65">
        <v>509</v>
      </c>
      <c r="N65" s="7">
        <v>1676</v>
      </c>
      <c r="O65" s="7" t="str">
        <f>IF(OR(survey_data[[#This Row],[Full Resolution Time]]&gt;$AK$4, survey_data[[#This Row],[Full Resolution Time]] &lt; survey_data[[#This Row],[Lower Bound]]), "Outlier", "Normal")</f>
        <v>Normal</v>
      </c>
      <c r="P65" s="7">
        <f>_xlfn.QUARTILE.INC(survey_data[Full Resolution Time], 1)</f>
        <v>70.5</v>
      </c>
      <c r="Q65">
        <v>10</v>
      </c>
      <c r="R65">
        <v>10</v>
      </c>
      <c r="S65">
        <v>10</v>
      </c>
      <c r="T65">
        <v>10</v>
      </c>
      <c r="U65">
        <v>10</v>
      </c>
      <c r="V65">
        <v>10</v>
      </c>
      <c r="W65">
        <v>10</v>
      </c>
      <c r="X65">
        <v>10</v>
      </c>
      <c r="Y65">
        <v>10</v>
      </c>
      <c r="Z65" t="s">
        <v>49</v>
      </c>
      <c r="AA65" t="s">
        <v>143</v>
      </c>
      <c r="AB65" t="s">
        <v>144</v>
      </c>
      <c r="AC65" s="3" t="str">
        <f t="shared" si="2"/>
        <v>12-Apr-2024</v>
      </c>
      <c r="AD65" t="s">
        <v>52</v>
      </c>
      <c r="AE65" t="s">
        <v>220</v>
      </c>
      <c r="AF65" t="s">
        <v>44</v>
      </c>
      <c r="AG65" t="s">
        <v>45</v>
      </c>
      <c r="AH65" t="s">
        <v>168</v>
      </c>
    </row>
    <row r="66" spans="1:34" x14ac:dyDescent="0.35">
      <c r="A66">
        <v>20158249</v>
      </c>
      <c r="B66" s="3">
        <v>46054.378460057873</v>
      </c>
      <c r="C66" s="3">
        <v>46054.452245370368</v>
      </c>
      <c r="D66" s="3" t="str">
        <f t="shared" ref="D66:D97" si="4">IF(E66 = 100, "Promoter", IF(E66 = -100, "Detractor", "Passive"))</f>
        <v>Promoter</v>
      </c>
      <c r="E66" s="7">
        <f t="shared" si="1"/>
        <v>100</v>
      </c>
      <c r="F66">
        <v>10</v>
      </c>
      <c r="G66" s="3">
        <v>46053.962962962964</v>
      </c>
      <c r="H66" t="s">
        <v>58</v>
      </c>
      <c r="I66" t="s">
        <v>35</v>
      </c>
      <c r="J66" t="s">
        <v>4</v>
      </c>
      <c r="K66" t="s">
        <v>110</v>
      </c>
      <c r="L66" t="s">
        <v>38</v>
      </c>
      <c r="M66">
        <v>772</v>
      </c>
      <c r="N66" s="7">
        <v>2264</v>
      </c>
      <c r="O66" s="7" t="str">
        <f>IF(OR(survey_data[[#This Row],[Full Resolution Time]]&gt;$AK$4, survey_data[[#This Row],[Full Resolution Time]] &lt; survey_data[[#This Row],[Lower Bound]]), "Outlier", "Normal")</f>
        <v>Normal</v>
      </c>
      <c r="P66" s="7">
        <f>_xlfn.QUARTILE.INC(survey_data[Full Resolution Time], 1)</f>
        <v>70.5</v>
      </c>
      <c r="Q66">
        <v>10</v>
      </c>
      <c r="R66">
        <v>10</v>
      </c>
      <c r="S66">
        <v>10</v>
      </c>
      <c r="T66">
        <v>10</v>
      </c>
      <c r="U66">
        <v>10</v>
      </c>
      <c r="V66">
        <v>10</v>
      </c>
      <c r="W66">
        <v>10</v>
      </c>
      <c r="X66">
        <v>10</v>
      </c>
      <c r="Y66">
        <v>10</v>
      </c>
      <c r="Z66" t="s">
        <v>49</v>
      </c>
      <c r="AA66" t="s">
        <v>169</v>
      </c>
      <c r="AB66" t="s">
        <v>170</v>
      </c>
      <c r="AC66" s="3" t="str">
        <f t="shared" si="2"/>
        <v>15-Oct-2024</v>
      </c>
      <c r="AD66" t="s">
        <v>52</v>
      </c>
      <c r="AE66" t="s">
        <v>219</v>
      </c>
      <c r="AF66" t="s">
        <v>44</v>
      </c>
      <c r="AG66" t="s">
        <v>45</v>
      </c>
      <c r="AH66" t="s">
        <v>137</v>
      </c>
    </row>
    <row r="67" spans="1:34" x14ac:dyDescent="0.35">
      <c r="A67">
        <v>20135777</v>
      </c>
      <c r="B67" s="3">
        <v>46050.376475023149</v>
      </c>
      <c r="C67" s="3">
        <v>46054.450069444443</v>
      </c>
      <c r="D67" s="3" t="str">
        <f t="shared" si="4"/>
        <v>Passive</v>
      </c>
      <c r="E67" s="7">
        <f t="shared" ref="E67:E103" si="5">IF(F67&gt;8, 100, IF(F67 &lt; 7, -100, 0))</f>
        <v>0</v>
      </c>
      <c r="F67">
        <v>8</v>
      </c>
      <c r="G67" s="3">
        <v>46049.937465277777</v>
      </c>
      <c r="H67" t="s">
        <v>34</v>
      </c>
      <c r="I67" t="s">
        <v>35</v>
      </c>
      <c r="J67" t="s">
        <v>48</v>
      </c>
      <c r="K67" t="s">
        <v>37</v>
      </c>
      <c r="L67" t="s">
        <v>62</v>
      </c>
      <c r="M67">
        <v>47</v>
      </c>
      <c r="N67" s="7">
        <v>61</v>
      </c>
      <c r="O67" s="7" t="str">
        <f>IF(OR(survey_data[[#This Row],[Full Resolution Time]]&gt;$AK$4, survey_data[[#This Row],[Full Resolution Time]] &lt; survey_data[[#This Row],[Lower Bound]]), "Outlier", "Normal")</f>
        <v>Outlier</v>
      </c>
      <c r="P67" s="7">
        <f>_xlfn.QUARTILE.INC(survey_data[Full Resolution Time], 1)</f>
        <v>70.5</v>
      </c>
      <c r="Q67">
        <v>8</v>
      </c>
      <c r="R67">
        <v>8</v>
      </c>
      <c r="S67">
        <v>8</v>
      </c>
      <c r="T67">
        <v>9</v>
      </c>
      <c r="U67">
        <v>8</v>
      </c>
      <c r="V67">
        <v>8</v>
      </c>
      <c r="W67">
        <v>9</v>
      </c>
      <c r="X67">
        <v>9</v>
      </c>
      <c r="Y67">
        <v>9</v>
      </c>
      <c r="Z67" t="s">
        <v>49</v>
      </c>
      <c r="AA67" t="s">
        <v>113</v>
      </c>
      <c r="AB67" t="s">
        <v>117</v>
      </c>
      <c r="AC67" s="3" t="str">
        <f t="shared" ref="AC67:AC103" si="6">TRIM(TEXT(AB67, "dd-mmm-yyyy"))</f>
        <v>01-Nov-2024</v>
      </c>
      <c r="AD67" t="s">
        <v>52</v>
      </c>
      <c r="AE67" t="s">
        <v>219</v>
      </c>
      <c r="AF67" t="s">
        <v>44</v>
      </c>
      <c r="AG67" t="s">
        <v>45</v>
      </c>
      <c r="AH67" t="s">
        <v>61</v>
      </c>
    </row>
    <row r="68" spans="1:34" x14ac:dyDescent="0.35">
      <c r="A68">
        <v>20159162</v>
      </c>
      <c r="B68" s="3">
        <v>46054.433510706018</v>
      </c>
      <c r="C68" s="3">
        <v>46054.433807870373</v>
      </c>
      <c r="D68" s="3" t="str">
        <f t="shared" si="4"/>
        <v>Promoter</v>
      </c>
      <c r="E68" s="7">
        <f t="shared" si="5"/>
        <v>100</v>
      </c>
      <c r="F68">
        <v>10</v>
      </c>
      <c r="G68" s="3">
        <v>46054.766053240739</v>
      </c>
      <c r="H68" t="s">
        <v>34</v>
      </c>
      <c r="I68" t="s">
        <v>35</v>
      </c>
      <c r="J68" t="s">
        <v>95</v>
      </c>
      <c r="K68" t="s">
        <v>37</v>
      </c>
      <c r="L68" t="s">
        <v>38</v>
      </c>
      <c r="M68">
        <v>15</v>
      </c>
      <c r="N68" s="7">
        <v>15</v>
      </c>
      <c r="O68" s="7" t="str">
        <f>IF(OR(survey_data[[#This Row],[Full Resolution Time]]&gt;$AK$4, survey_data[[#This Row],[Full Resolution Time]] &lt; survey_data[[#This Row],[Lower Bound]]), "Outlier", "Normal")</f>
        <v>Outlier</v>
      </c>
      <c r="P68" s="7">
        <f>_xlfn.QUARTILE.INC(survey_data[Full Resolution Time], 1)</f>
        <v>70.5</v>
      </c>
      <c r="Q68">
        <v>10</v>
      </c>
      <c r="R68">
        <v>10</v>
      </c>
      <c r="S68">
        <v>10</v>
      </c>
      <c r="T68">
        <v>10</v>
      </c>
      <c r="U68">
        <v>10</v>
      </c>
      <c r="V68">
        <v>10</v>
      </c>
      <c r="W68">
        <v>10</v>
      </c>
      <c r="X68">
        <v>10</v>
      </c>
      <c r="Y68">
        <v>10</v>
      </c>
      <c r="Z68" t="s">
        <v>49</v>
      </c>
      <c r="AA68" t="s">
        <v>171</v>
      </c>
      <c r="AB68" t="s">
        <v>154</v>
      </c>
      <c r="AC68" s="3" t="str">
        <f t="shared" si="6"/>
        <v>16-May-2024</v>
      </c>
      <c r="AD68" t="s">
        <v>52</v>
      </c>
      <c r="AE68" t="s">
        <v>220</v>
      </c>
      <c r="AF68" t="s">
        <v>44</v>
      </c>
      <c r="AG68" t="s">
        <v>45</v>
      </c>
      <c r="AH68" t="s">
        <v>61</v>
      </c>
    </row>
    <row r="69" spans="1:34" x14ac:dyDescent="0.35">
      <c r="A69">
        <v>20158919</v>
      </c>
      <c r="B69" s="3">
        <v>46054.380901875003</v>
      </c>
      <c r="C69" s="3">
        <v>46054.433611111112</v>
      </c>
      <c r="D69" s="3" t="str">
        <f t="shared" si="4"/>
        <v>Promoter</v>
      </c>
      <c r="E69" s="7">
        <f t="shared" si="5"/>
        <v>100</v>
      </c>
      <c r="F69">
        <v>10</v>
      </c>
      <c r="G69" s="3">
        <v>46053.758796296293</v>
      </c>
      <c r="H69" t="s">
        <v>34</v>
      </c>
      <c r="I69" t="s">
        <v>35</v>
      </c>
      <c r="J69" t="s">
        <v>4</v>
      </c>
      <c r="K69" t="s">
        <v>77</v>
      </c>
      <c r="L69" t="s">
        <v>38</v>
      </c>
      <c r="M69">
        <v>1006</v>
      </c>
      <c r="N69" s="7">
        <v>15541</v>
      </c>
      <c r="O69" s="7" t="str">
        <f>IF(OR(survey_data[[#This Row],[Full Resolution Time]]&gt;$AK$4, survey_data[[#This Row],[Full Resolution Time]] &lt; survey_data[[#This Row],[Lower Bound]]), "Outlier", "Normal")</f>
        <v>Normal</v>
      </c>
      <c r="P69" s="7">
        <f>_xlfn.QUARTILE.INC(survey_data[Full Resolution Time], 1)</f>
        <v>70.5</v>
      </c>
      <c r="Q69">
        <v>10</v>
      </c>
      <c r="R69">
        <v>10</v>
      </c>
      <c r="S69">
        <v>10</v>
      </c>
      <c r="T69">
        <v>10</v>
      </c>
      <c r="U69">
        <v>10</v>
      </c>
      <c r="V69">
        <v>10</v>
      </c>
      <c r="W69">
        <v>10</v>
      </c>
      <c r="X69">
        <v>10</v>
      </c>
      <c r="Y69">
        <v>10</v>
      </c>
      <c r="Z69" t="s">
        <v>49</v>
      </c>
      <c r="AA69" t="s">
        <v>172</v>
      </c>
      <c r="AB69" t="s">
        <v>75</v>
      </c>
      <c r="AC69" s="3" t="str">
        <f t="shared" si="6"/>
        <v>16-Aug-2023</v>
      </c>
      <c r="AD69" t="s">
        <v>52</v>
      </c>
      <c r="AE69" t="s">
        <v>219</v>
      </c>
      <c r="AF69" t="s">
        <v>44</v>
      </c>
      <c r="AG69" t="s">
        <v>45</v>
      </c>
      <c r="AH69" t="s">
        <v>53</v>
      </c>
    </row>
    <row r="70" spans="1:34" x14ac:dyDescent="0.35">
      <c r="A70">
        <v>20136878</v>
      </c>
      <c r="B70" s="3">
        <v>46050.380230185183</v>
      </c>
      <c r="C70" s="3">
        <v>46054.429259259261</v>
      </c>
      <c r="D70" s="3" t="str">
        <f t="shared" si="4"/>
        <v>Detractor</v>
      </c>
      <c r="E70" s="7">
        <f t="shared" si="5"/>
        <v>-100</v>
      </c>
      <c r="F70">
        <v>3</v>
      </c>
      <c r="G70" s="3">
        <v>46050.293807870374</v>
      </c>
      <c r="H70" t="s">
        <v>34</v>
      </c>
      <c r="I70" t="s">
        <v>47</v>
      </c>
      <c r="J70" t="s">
        <v>48</v>
      </c>
      <c r="K70" t="s">
        <v>110</v>
      </c>
      <c r="L70" t="s">
        <v>38</v>
      </c>
      <c r="M70">
        <v>220</v>
      </c>
      <c r="N70" s="7">
        <v>17886</v>
      </c>
      <c r="O70" s="7" t="str">
        <f>IF(OR(survey_data[[#This Row],[Full Resolution Time]]&gt;$AK$4, survey_data[[#This Row],[Full Resolution Time]] &lt; survey_data[[#This Row],[Lower Bound]]), "Outlier", "Normal")</f>
        <v>Normal</v>
      </c>
      <c r="P70" s="7">
        <f>_xlfn.QUARTILE.INC(survey_data[Full Resolution Time], 1)</f>
        <v>70.5</v>
      </c>
      <c r="Q70">
        <v>3</v>
      </c>
      <c r="R70">
        <v>3</v>
      </c>
      <c r="S70">
        <v>5</v>
      </c>
      <c r="T70">
        <v>3</v>
      </c>
      <c r="U70">
        <v>3</v>
      </c>
      <c r="V70">
        <v>2</v>
      </c>
      <c r="W70">
        <v>3</v>
      </c>
      <c r="X70">
        <v>2</v>
      </c>
      <c r="Y70">
        <v>5</v>
      </c>
      <c r="Z70" t="s">
        <v>100</v>
      </c>
      <c r="AA70" t="s">
        <v>173</v>
      </c>
      <c r="AB70" t="s">
        <v>174</v>
      </c>
      <c r="AC70" s="3" t="str">
        <f t="shared" si="6"/>
        <v>08-Apr-2024</v>
      </c>
      <c r="AD70" t="s">
        <v>52</v>
      </c>
      <c r="AE70" t="s">
        <v>220</v>
      </c>
      <c r="AF70" t="s">
        <v>85</v>
      </c>
      <c r="AG70" t="s">
        <v>45</v>
      </c>
      <c r="AH70" t="s">
        <v>86</v>
      </c>
    </row>
    <row r="71" spans="1:34" x14ac:dyDescent="0.35">
      <c r="A71">
        <v>20158389</v>
      </c>
      <c r="B71" s="3">
        <v>46054.378896562499</v>
      </c>
      <c r="C71" s="3">
        <v>46054.42664351852</v>
      </c>
      <c r="D71" s="3" t="str">
        <f t="shared" si="4"/>
        <v>Promoter</v>
      </c>
      <c r="E71" s="7">
        <f t="shared" si="5"/>
        <v>100</v>
      </c>
      <c r="F71">
        <v>10</v>
      </c>
      <c r="G71" s="3">
        <v>46053.988194444442</v>
      </c>
      <c r="H71" t="s">
        <v>34</v>
      </c>
      <c r="I71" t="s">
        <v>35</v>
      </c>
      <c r="J71" t="s">
        <v>48</v>
      </c>
      <c r="K71" t="s">
        <v>77</v>
      </c>
      <c r="L71" t="s">
        <v>62</v>
      </c>
      <c r="M71">
        <v>21</v>
      </c>
      <c r="N71" s="7">
        <v>75</v>
      </c>
      <c r="O71" s="7" t="str">
        <f>IF(OR(survey_data[[#This Row],[Full Resolution Time]]&gt;$AK$4, survey_data[[#This Row],[Full Resolution Time]] &lt; survey_data[[#This Row],[Lower Bound]]), "Outlier", "Normal")</f>
        <v>Normal</v>
      </c>
      <c r="P71" s="7">
        <f>_xlfn.QUARTILE.INC(survey_data[Full Resolution Time], 1)</f>
        <v>70.5</v>
      </c>
      <c r="Q71">
        <v>10</v>
      </c>
      <c r="R71">
        <v>10</v>
      </c>
      <c r="S71">
        <v>10</v>
      </c>
      <c r="T71">
        <v>10</v>
      </c>
      <c r="U71">
        <v>10</v>
      </c>
      <c r="V71">
        <v>10</v>
      </c>
      <c r="W71">
        <v>10</v>
      </c>
      <c r="X71">
        <v>10</v>
      </c>
      <c r="Y71">
        <v>10</v>
      </c>
      <c r="Z71" t="s">
        <v>49</v>
      </c>
      <c r="AA71" t="s">
        <v>169</v>
      </c>
      <c r="AB71" t="s">
        <v>170</v>
      </c>
      <c r="AC71" s="3" t="str">
        <f t="shared" si="6"/>
        <v>15-Oct-2024</v>
      </c>
      <c r="AD71" t="s">
        <v>52</v>
      </c>
      <c r="AE71" t="s">
        <v>219</v>
      </c>
      <c r="AF71" t="s">
        <v>44</v>
      </c>
      <c r="AG71" t="s">
        <v>45</v>
      </c>
      <c r="AH71" t="s">
        <v>53</v>
      </c>
    </row>
    <row r="72" spans="1:34" x14ac:dyDescent="0.35">
      <c r="A72">
        <v>20158487</v>
      </c>
      <c r="B72" s="3">
        <v>46054.379278865737</v>
      </c>
      <c r="C72" s="3">
        <v>46054.412870370368</v>
      </c>
      <c r="D72" s="3" t="str">
        <f t="shared" si="4"/>
        <v>Detractor</v>
      </c>
      <c r="E72" s="7">
        <f t="shared" si="5"/>
        <v>-100</v>
      </c>
      <c r="F72">
        <v>0</v>
      </c>
      <c r="G72" s="3">
        <v>46054.54347222222</v>
      </c>
      <c r="H72" t="s">
        <v>58</v>
      </c>
      <c r="I72" t="s">
        <v>35</v>
      </c>
      <c r="J72" t="s">
        <v>4</v>
      </c>
      <c r="K72" t="s">
        <v>119</v>
      </c>
      <c r="L72" t="s">
        <v>38</v>
      </c>
      <c r="M72">
        <v>545</v>
      </c>
      <c r="N72" s="7">
        <v>14108</v>
      </c>
      <c r="O72" s="7" t="str">
        <f>IF(OR(survey_data[[#This Row],[Full Resolution Time]]&gt;$AK$4, survey_data[[#This Row],[Full Resolution Time]] &lt; survey_data[[#This Row],[Lower Bound]]), "Outlier", "Normal")</f>
        <v>Normal</v>
      </c>
      <c r="P72" s="7">
        <f>_xlfn.QUARTILE.INC(survey_data[Full Resolution Time], 1)</f>
        <v>70.5</v>
      </c>
      <c r="Q72">
        <v>0</v>
      </c>
      <c r="R72">
        <v>0</v>
      </c>
      <c r="S72">
        <v>1</v>
      </c>
      <c r="T72">
        <v>0</v>
      </c>
      <c r="U72">
        <v>0</v>
      </c>
      <c r="V72">
        <v>0</v>
      </c>
      <c r="W72">
        <v>0</v>
      </c>
      <c r="X72">
        <v>0</v>
      </c>
      <c r="Y72">
        <v>0</v>
      </c>
      <c r="Z72" t="s">
        <v>100</v>
      </c>
      <c r="AA72" t="s">
        <v>175</v>
      </c>
      <c r="AB72" t="s">
        <v>176</v>
      </c>
      <c r="AC72" s="3" t="str">
        <f t="shared" si="6"/>
        <v>25-Oct-2021</v>
      </c>
      <c r="AD72" t="s">
        <v>43</v>
      </c>
      <c r="AE72" t="s">
        <v>219</v>
      </c>
      <c r="AF72" t="s">
        <v>85</v>
      </c>
      <c r="AG72" t="s">
        <v>45</v>
      </c>
      <c r="AH72" t="s">
        <v>86</v>
      </c>
    </row>
    <row r="73" spans="1:34" x14ac:dyDescent="0.35">
      <c r="A73">
        <v>20158464</v>
      </c>
      <c r="B73" s="3">
        <v>46054.379205509256</v>
      </c>
      <c r="C73" s="3">
        <v>46054.411192129628</v>
      </c>
      <c r="D73" s="3" t="str">
        <f t="shared" si="4"/>
        <v>Detractor</v>
      </c>
      <c r="E73" s="7">
        <f t="shared" si="5"/>
        <v>-100</v>
      </c>
      <c r="F73">
        <v>1</v>
      </c>
      <c r="G73" s="3">
        <v>46054.544386574074</v>
      </c>
      <c r="H73" t="s">
        <v>34</v>
      </c>
      <c r="I73" t="s">
        <v>35</v>
      </c>
      <c r="J73" t="s">
        <v>4</v>
      </c>
      <c r="K73" t="s">
        <v>69</v>
      </c>
      <c r="L73" t="s">
        <v>38</v>
      </c>
      <c r="M73">
        <v>408</v>
      </c>
      <c r="N73" s="7">
        <v>14743</v>
      </c>
      <c r="O73" s="7" t="str">
        <f>IF(OR(survey_data[[#This Row],[Full Resolution Time]]&gt;$AK$4, survey_data[[#This Row],[Full Resolution Time]] &lt; survey_data[[#This Row],[Lower Bound]]), "Outlier", "Normal")</f>
        <v>Normal</v>
      </c>
      <c r="P73" s="7">
        <f>_xlfn.QUARTILE.INC(survey_data[Full Resolution Time], 1)</f>
        <v>70.5</v>
      </c>
      <c r="Q73">
        <v>1</v>
      </c>
      <c r="R73">
        <v>1</v>
      </c>
      <c r="S73">
        <v>1</v>
      </c>
      <c r="T73">
        <v>1</v>
      </c>
      <c r="U73">
        <v>1</v>
      </c>
      <c r="V73">
        <v>1</v>
      </c>
      <c r="W73">
        <v>1</v>
      </c>
      <c r="X73">
        <v>1</v>
      </c>
      <c r="Y73">
        <v>1</v>
      </c>
      <c r="Z73" t="s">
        <v>100</v>
      </c>
      <c r="AA73" t="s">
        <v>177</v>
      </c>
      <c r="AB73" t="s">
        <v>178</v>
      </c>
      <c r="AC73" s="3" t="str">
        <f t="shared" si="6"/>
        <v>07-Oct-2024</v>
      </c>
      <c r="AD73" t="s">
        <v>52</v>
      </c>
      <c r="AE73" t="s">
        <v>219</v>
      </c>
      <c r="AF73" t="s">
        <v>44</v>
      </c>
      <c r="AG73" t="s">
        <v>45</v>
      </c>
      <c r="AH73" t="s">
        <v>73</v>
      </c>
    </row>
    <row r="74" spans="1:34" x14ac:dyDescent="0.35">
      <c r="A74">
        <v>20157735</v>
      </c>
      <c r="B74" s="3">
        <v>46054.376763703702</v>
      </c>
      <c r="C74" s="3">
        <v>46054.409386574072</v>
      </c>
      <c r="D74" s="3" t="str">
        <f t="shared" si="4"/>
        <v>Promoter</v>
      </c>
      <c r="E74" s="7">
        <f t="shared" si="5"/>
        <v>100</v>
      </c>
      <c r="F74">
        <v>10</v>
      </c>
      <c r="G74" s="3">
        <v>46054.64634259259</v>
      </c>
      <c r="H74" t="s">
        <v>34</v>
      </c>
      <c r="I74" t="s">
        <v>35</v>
      </c>
      <c r="J74" t="s">
        <v>48</v>
      </c>
      <c r="K74" t="s">
        <v>71</v>
      </c>
      <c r="L74" t="s">
        <v>62</v>
      </c>
      <c r="M74">
        <v>20</v>
      </c>
      <c r="N74" s="7">
        <v>75</v>
      </c>
      <c r="O74" s="7" t="str">
        <f>IF(OR(survey_data[[#This Row],[Full Resolution Time]]&gt;$AK$4, survey_data[[#This Row],[Full Resolution Time]] &lt; survey_data[[#This Row],[Lower Bound]]), "Outlier", "Normal")</f>
        <v>Normal</v>
      </c>
      <c r="P74" s="7">
        <f>_xlfn.QUARTILE.INC(survey_data[Full Resolution Time], 1)</f>
        <v>70.5</v>
      </c>
      <c r="Q74">
        <v>10</v>
      </c>
      <c r="R74">
        <v>10</v>
      </c>
      <c r="S74">
        <v>10</v>
      </c>
      <c r="T74">
        <v>10</v>
      </c>
      <c r="U74">
        <v>10</v>
      </c>
      <c r="V74">
        <v>10</v>
      </c>
      <c r="W74">
        <v>10</v>
      </c>
      <c r="X74">
        <v>10</v>
      </c>
      <c r="Y74">
        <v>10</v>
      </c>
      <c r="Z74" t="s">
        <v>49</v>
      </c>
      <c r="AA74" t="s">
        <v>179</v>
      </c>
      <c r="AB74" t="s">
        <v>180</v>
      </c>
      <c r="AC74" s="3" t="str">
        <f t="shared" si="6"/>
        <v>09-Sep-2024</v>
      </c>
      <c r="AD74" t="s">
        <v>52</v>
      </c>
      <c r="AE74" t="s">
        <v>220</v>
      </c>
      <c r="AF74" t="s">
        <v>44</v>
      </c>
      <c r="AG74" t="s">
        <v>45</v>
      </c>
      <c r="AH74" t="s">
        <v>126</v>
      </c>
    </row>
    <row r="75" spans="1:34" x14ac:dyDescent="0.35">
      <c r="A75">
        <v>20158682</v>
      </c>
      <c r="B75" s="3">
        <v>46054.380062256947</v>
      </c>
      <c r="C75" s="3">
        <v>46054.401990740742</v>
      </c>
      <c r="D75" s="3" t="str">
        <f t="shared" si="4"/>
        <v>Detractor</v>
      </c>
      <c r="E75" s="7">
        <f t="shared" si="5"/>
        <v>-100</v>
      </c>
      <c r="F75">
        <v>3</v>
      </c>
      <c r="G75" s="3">
        <v>46054.502291666664</v>
      </c>
      <c r="H75" t="s">
        <v>34</v>
      </c>
      <c r="I75" t="s">
        <v>35</v>
      </c>
      <c r="J75" t="s">
        <v>48</v>
      </c>
      <c r="K75" t="s">
        <v>66</v>
      </c>
      <c r="L75" t="s">
        <v>38</v>
      </c>
      <c r="M75">
        <v>90</v>
      </c>
      <c r="N75" s="7">
        <v>13804</v>
      </c>
      <c r="O75" s="7" t="str">
        <f>IF(OR(survey_data[[#This Row],[Full Resolution Time]]&gt;$AK$4, survey_data[[#This Row],[Full Resolution Time]] &lt; survey_data[[#This Row],[Lower Bound]]), "Outlier", "Normal")</f>
        <v>Normal</v>
      </c>
      <c r="P75" s="7">
        <f>_xlfn.QUARTILE.INC(survey_data[Full Resolution Time], 1)</f>
        <v>70.5</v>
      </c>
      <c r="Q75">
        <v>0</v>
      </c>
      <c r="R75">
        <v>3</v>
      </c>
      <c r="S75">
        <v>7</v>
      </c>
      <c r="T75" t="s">
        <v>39</v>
      </c>
      <c r="U75">
        <v>7</v>
      </c>
      <c r="V75">
        <v>3</v>
      </c>
      <c r="W75">
        <v>7</v>
      </c>
      <c r="X75">
        <v>0</v>
      </c>
      <c r="Y75">
        <v>0</v>
      </c>
      <c r="Z75" t="s">
        <v>100</v>
      </c>
      <c r="AA75" t="s">
        <v>181</v>
      </c>
      <c r="AB75" t="s">
        <v>182</v>
      </c>
      <c r="AC75" s="3" t="str">
        <f t="shared" si="6"/>
        <v>20-Dec-2023</v>
      </c>
      <c r="AD75" t="s">
        <v>52</v>
      </c>
      <c r="AE75" t="s">
        <v>220</v>
      </c>
      <c r="AF75" t="s">
        <v>85</v>
      </c>
      <c r="AG75" t="s">
        <v>45</v>
      </c>
      <c r="AH75" t="s">
        <v>86</v>
      </c>
    </row>
    <row r="76" spans="1:34" x14ac:dyDescent="0.35">
      <c r="A76">
        <v>20157495</v>
      </c>
      <c r="B76" s="3">
        <v>46054.375919652775</v>
      </c>
      <c r="C76" s="3">
        <v>46054.398993055554</v>
      </c>
      <c r="D76" s="3" t="str">
        <f t="shared" si="4"/>
        <v>Promoter</v>
      </c>
      <c r="E76" s="7">
        <f t="shared" si="5"/>
        <v>100</v>
      </c>
      <c r="F76">
        <v>10</v>
      </c>
      <c r="G76" s="3">
        <v>46054.675115740742</v>
      </c>
      <c r="H76" t="s">
        <v>34</v>
      </c>
      <c r="I76" t="s">
        <v>35</v>
      </c>
      <c r="J76" t="s">
        <v>4</v>
      </c>
      <c r="K76" t="s">
        <v>37</v>
      </c>
      <c r="L76" t="s">
        <v>38</v>
      </c>
      <c r="M76">
        <v>483</v>
      </c>
      <c r="N76" s="7">
        <v>1419</v>
      </c>
      <c r="O76" s="7" t="str">
        <f>IF(OR(survey_data[[#This Row],[Full Resolution Time]]&gt;$AK$4, survey_data[[#This Row],[Full Resolution Time]] &lt; survey_data[[#This Row],[Lower Bound]]), "Outlier", "Normal")</f>
        <v>Normal</v>
      </c>
      <c r="P76" s="7">
        <f>_xlfn.QUARTILE.INC(survey_data[Full Resolution Time], 1)</f>
        <v>70.5</v>
      </c>
      <c r="Q76">
        <v>10</v>
      </c>
      <c r="R76">
        <v>10</v>
      </c>
      <c r="S76">
        <v>10</v>
      </c>
      <c r="T76">
        <v>10</v>
      </c>
      <c r="U76">
        <v>10</v>
      </c>
      <c r="V76">
        <v>10</v>
      </c>
      <c r="W76">
        <v>10</v>
      </c>
      <c r="X76">
        <v>10</v>
      </c>
      <c r="Y76">
        <v>10</v>
      </c>
      <c r="Z76" t="s">
        <v>49</v>
      </c>
      <c r="AA76" t="s">
        <v>183</v>
      </c>
      <c r="AB76" t="s">
        <v>68</v>
      </c>
      <c r="AC76" s="3" t="str">
        <f t="shared" si="6"/>
        <v>01-Sep-2024</v>
      </c>
      <c r="AD76" t="s">
        <v>52</v>
      </c>
      <c r="AE76" t="s">
        <v>219</v>
      </c>
      <c r="AF76" t="s">
        <v>44</v>
      </c>
      <c r="AG76" t="s">
        <v>45</v>
      </c>
      <c r="AH76" t="s">
        <v>126</v>
      </c>
    </row>
    <row r="77" spans="1:34" x14ac:dyDescent="0.35">
      <c r="A77">
        <v>20158956</v>
      </c>
      <c r="B77" s="3">
        <v>46054.390437708331</v>
      </c>
      <c r="C77" s="3">
        <v>46054.390810185185</v>
      </c>
      <c r="D77" s="3" t="str">
        <f t="shared" si="4"/>
        <v>Promoter</v>
      </c>
      <c r="E77" s="7">
        <f t="shared" si="5"/>
        <v>100</v>
      </c>
      <c r="F77">
        <v>10</v>
      </c>
      <c r="G77" s="3">
        <v>46054.723217592589</v>
      </c>
      <c r="H77" t="s">
        <v>34</v>
      </c>
      <c r="I77" t="s">
        <v>35</v>
      </c>
      <c r="J77" t="s">
        <v>95</v>
      </c>
      <c r="K77" t="s">
        <v>69</v>
      </c>
      <c r="L77" t="s">
        <v>38</v>
      </c>
      <c r="M77">
        <v>6</v>
      </c>
      <c r="N77" s="7">
        <v>6</v>
      </c>
      <c r="O77" s="7" t="str">
        <f>IF(OR(survey_data[[#This Row],[Full Resolution Time]]&gt;$AK$4, survey_data[[#This Row],[Full Resolution Time]] &lt; survey_data[[#This Row],[Lower Bound]]), "Outlier", "Normal")</f>
        <v>Outlier</v>
      </c>
      <c r="P77" s="7">
        <f>_xlfn.QUARTILE.INC(survey_data[Full Resolution Time], 1)</f>
        <v>70.5</v>
      </c>
      <c r="Q77">
        <v>10</v>
      </c>
      <c r="R77">
        <v>10</v>
      </c>
      <c r="S77">
        <v>10</v>
      </c>
      <c r="T77">
        <v>10</v>
      </c>
      <c r="U77">
        <v>10</v>
      </c>
      <c r="V77">
        <v>10</v>
      </c>
      <c r="W77">
        <v>10</v>
      </c>
      <c r="X77">
        <v>10</v>
      </c>
      <c r="Y77">
        <v>10</v>
      </c>
      <c r="Z77" t="s">
        <v>49</v>
      </c>
      <c r="AA77" t="s">
        <v>171</v>
      </c>
      <c r="AB77" t="s">
        <v>154</v>
      </c>
      <c r="AC77" s="3" t="str">
        <f t="shared" si="6"/>
        <v>16-May-2024</v>
      </c>
      <c r="AD77" t="s">
        <v>52</v>
      </c>
      <c r="AE77" t="s">
        <v>220</v>
      </c>
      <c r="AF77" t="s">
        <v>44</v>
      </c>
      <c r="AG77" t="s">
        <v>45</v>
      </c>
      <c r="AH77" t="s">
        <v>65</v>
      </c>
    </row>
    <row r="78" spans="1:34" x14ac:dyDescent="0.35">
      <c r="A78">
        <v>20158170</v>
      </c>
      <c r="B78" s="3">
        <v>46054.378182349537</v>
      </c>
      <c r="C78" s="3">
        <v>46054.388472222221</v>
      </c>
      <c r="D78" s="3" t="str">
        <f t="shared" si="4"/>
        <v>Passive</v>
      </c>
      <c r="E78" s="7">
        <f t="shared" si="5"/>
        <v>0</v>
      </c>
      <c r="F78">
        <v>8</v>
      </c>
      <c r="G78" s="3">
        <v>46054.087291666663</v>
      </c>
      <c r="H78" t="s">
        <v>34</v>
      </c>
      <c r="I78" t="s">
        <v>35</v>
      </c>
      <c r="J78" t="s">
        <v>48</v>
      </c>
      <c r="K78" t="s">
        <v>110</v>
      </c>
      <c r="L78" t="s">
        <v>62</v>
      </c>
      <c r="M78">
        <v>23</v>
      </c>
      <c r="N78" s="7">
        <v>65</v>
      </c>
      <c r="O78" s="7" t="str">
        <f>IF(OR(survey_data[[#This Row],[Full Resolution Time]]&gt;$AK$4, survey_data[[#This Row],[Full Resolution Time]] &lt; survey_data[[#This Row],[Lower Bound]]), "Outlier", "Normal")</f>
        <v>Outlier</v>
      </c>
      <c r="P78" s="7">
        <f>_xlfn.QUARTILE.INC(survey_data[Full Resolution Time], 1)</f>
        <v>70.5</v>
      </c>
      <c r="Q78">
        <v>8</v>
      </c>
      <c r="R78">
        <v>7</v>
      </c>
      <c r="S78">
        <v>9</v>
      </c>
      <c r="T78">
        <v>8</v>
      </c>
      <c r="U78">
        <v>8</v>
      </c>
      <c r="V78">
        <v>8</v>
      </c>
      <c r="W78">
        <v>8</v>
      </c>
      <c r="X78">
        <v>7</v>
      </c>
      <c r="Y78">
        <v>5</v>
      </c>
      <c r="Z78" t="s">
        <v>40</v>
      </c>
      <c r="AA78" t="s">
        <v>89</v>
      </c>
      <c r="AB78" t="s">
        <v>90</v>
      </c>
      <c r="AC78" s="3" t="str">
        <f t="shared" si="6"/>
        <v>31-Jul-2023</v>
      </c>
      <c r="AD78" t="s">
        <v>52</v>
      </c>
      <c r="AE78" t="s">
        <v>220</v>
      </c>
      <c r="AF78" t="s">
        <v>44</v>
      </c>
      <c r="AG78" t="s">
        <v>45</v>
      </c>
      <c r="AH78" t="s">
        <v>73</v>
      </c>
    </row>
    <row r="79" spans="1:34" x14ac:dyDescent="0.35">
      <c r="A79">
        <v>20158193</v>
      </c>
      <c r="B79" s="3">
        <v>46054.378268726854</v>
      </c>
      <c r="C79" s="3">
        <v>46054.387418981481</v>
      </c>
      <c r="D79" s="3" t="str">
        <f t="shared" si="4"/>
        <v>Promoter</v>
      </c>
      <c r="E79" s="7">
        <f t="shared" si="5"/>
        <v>100</v>
      </c>
      <c r="F79">
        <v>10</v>
      </c>
      <c r="G79" s="3">
        <v>46054.281064814815</v>
      </c>
      <c r="H79" t="s">
        <v>34</v>
      </c>
      <c r="I79" t="s">
        <v>35</v>
      </c>
      <c r="J79" t="s">
        <v>48</v>
      </c>
      <c r="K79" t="s">
        <v>69</v>
      </c>
      <c r="L79" t="s">
        <v>38</v>
      </c>
      <c r="M79">
        <v>439</v>
      </c>
      <c r="N79" s="7">
        <v>6434</v>
      </c>
      <c r="O79" s="7" t="str">
        <f>IF(OR(survey_data[[#This Row],[Full Resolution Time]]&gt;$AK$4, survey_data[[#This Row],[Full Resolution Time]] &lt; survey_data[[#This Row],[Lower Bound]]), "Outlier", "Normal")</f>
        <v>Normal</v>
      </c>
      <c r="P79" s="7">
        <f>_xlfn.QUARTILE.INC(survey_data[Full Resolution Time], 1)</f>
        <v>70.5</v>
      </c>
      <c r="Q79">
        <v>10</v>
      </c>
      <c r="R79">
        <v>10</v>
      </c>
      <c r="S79">
        <v>10</v>
      </c>
      <c r="T79">
        <v>10</v>
      </c>
      <c r="U79">
        <v>10</v>
      </c>
      <c r="V79">
        <v>10</v>
      </c>
      <c r="W79">
        <v>10</v>
      </c>
      <c r="X79">
        <v>10</v>
      </c>
      <c r="Y79">
        <v>10</v>
      </c>
      <c r="Z79" t="s">
        <v>49</v>
      </c>
      <c r="AA79" t="s">
        <v>184</v>
      </c>
      <c r="AB79" t="s">
        <v>130</v>
      </c>
      <c r="AC79" s="3" t="str">
        <f t="shared" si="6"/>
        <v>13-Jun-2023</v>
      </c>
      <c r="AD79" t="s">
        <v>52</v>
      </c>
      <c r="AE79" t="s">
        <v>220</v>
      </c>
      <c r="AF79" t="s">
        <v>44</v>
      </c>
      <c r="AG79" t="s">
        <v>45</v>
      </c>
      <c r="AH79" t="s">
        <v>126</v>
      </c>
    </row>
    <row r="80" spans="1:34" x14ac:dyDescent="0.35">
      <c r="A80">
        <v>20136971</v>
      </c>
      <c r="B80" s="3">
        <v>46050.380570810186</v>
      </c>
      <c r="C80" s="3">
        <v>46054.384733796294</v>
      </c>
      <c r="D80" s="3" t="str">
        <f t="shared" si="4"/>
        <v>Promoter</v>
      </c>
      <c r="E80" s="7">
        <f t="shared" si="5"/>
        <v>100</v>
      </c>
      <c r="F80">
        <v>9</v>
      </c>
      <c r="G80" s="3">
        <v>46049.793391203704</v>
      </c>
      <c r="H80" t="s">
        <v>34</v>
      </c>
      <c r="I80" t="s">
        <v>35</v>
      </c>
      <c r="J80" t="s">
        <v>36</v>
      </c>
      <c r="K80" t="s">
        <v>37</v>
      </c>
      <c r="L80" t="s">
        <v>38</v>
      </c>
      <c r="M80">
        <v>1</v>
      </c>
      <c r="N80" s="7">
        <v>28756</v>
      </c>
      <c r="O80" s="7" t="str">
        <f>IF(OR(survey_data[[#This Row],[Full Resolution Time]]&gt;$AK$4, survey_data[[#This Row],[Full Resolution Time]] &lt; survey_data[[#This Row],[Lower Bound]]), "Outlier", "Normal")</f>
        <v>Normal</v>
      </c>
      <c r="P80" s="7">
        <f>_xlfn.QUARTILE.INC(survey_data[Full Resolution Time], 1)</f>
        <v>70.5</v>
      </c>
      <c r="Q80">
        <v>9</v>
      </c>
      <c r="R80">
        <v>9</v>
      </c>
      <c r="S80">
        <v>9</v>
      </c>
      <c r="T80">
        <v>9</v>
      </c>
      <c r="U80">
        <v>9</v>
      </c>
      <c r="V80">
        <v>9</v>
      </c>
      <c r="W80">
        <v>9</v>
      </c>
      <c r="X80">
        <v>9</v>
      </c>
      <c r="Y80">
        <v>8</v>
      </c>
      <c r="Z80" t="s">
        <v>49</v>
      </c>
      <c r="AA80" t="s">
        <v>185</v>
      </c>
      <c r="AB80" t="s">
        <v>186</v>
      </c>
      <c r="AC80" s="3" t="str">
        <f t="shared" si="6"/>
        <v>26-Sep-2023</v>
      </c>
      <c r="AD80" t="s">
        <v>43</v>
      </c>
      <c r="AE80" t="s">
        <v>219</v>
      </c>
      <c r="AF80" t="s">
        <v>44</v>
      </c>
      <c r="AG80" t="s">
        <v>45</v>
      </c>
      <c r="AH80" t="s">
        <v>46</v>
      </c>
    </row>
    <row r="81" spans="1:34" x14ac:dyDescent="0.35">
      <c r="A81">
        <v>20136849</v>
      </c>
      <c r="B81" s="3">
        <v>46050.38013902778</v>
      </c>
      <c r="C81" s="3">
        <v>46054.383472222224</v>
      </c>
      <c r="D81" s="3" t="str">
        <f t="shared" si="4"/>
        <v>Passive</v>
      </c>
      <c r="E81" s="7">
        <f t="shared" si="5"/>
        <v>0</v>
      </c>
      <c r="F81">
        <v>8</v>
      </c>
      <c r="G81" s="3">
        <v>46050.001770833333</v>
      </c>
      <c r="H81" t="s">
        <v>34</v>
      </c>
      <c r="I81" t="s">
        <v>35</v>
      </c>
      <c r="J81" t="s">
        <v>4</v>
      </c>
      <c r="K81" t="s">
        <v>78</v>
      </c>
      <c r="L81" t="s">
        <v>38</v>
      </c>
      <c r="M81">
        <v>144</v>
      </c>
      <c r="N81" s="7">
        <v>13416</v>
      </c>
      <c r="O81" s="7" t="str">
        <f>IF(OR(survey_data[[#This Row],[Full Resolution Time]]&gt;$AK$4, survey_data[[#This Row],[Full Resolution Time]] &lt; survey_data[[#This Row],[Lower Bound]]), "Outlier", "Normal")</f>
        <v>Normal</v>
      </c>
      <c r="P81" s="7">
        <f>_xlfn.QUARTILE.INC(survey_data[Full Resolution Time], 1)</f>
        <v>70.5</v>
      </c>
      <c r="Q81">
        <v>8</v>
      </c>
      <c r="R81">
        <v>9</v>
      </c>
      <c r="S81">
        <v>9</v>
      </c>
      <c r="T81">
        <v>9</v>
      </c>
      <c r="U81">
        <v>9</v>
      </c>
      <c r="V81">
        <v>9</v>
      </c>
      <c r="W81">
        <v>9</v>
      </c>
      <c r="X81">
        <v>9</v>
      </c>
      <c r="Y81">
        <v>9</v>
      </c>
      <c r="Z81" t="s">
        <v>49</v>
      </c>
      <c r="AA81" t="s">
        <v>187</v>
      </c>
      <c r="AB81" t="s">
        <v>174</v>
      </c>
      <c r="AC81" s="3" t="str">
        <f t="shared" si="6"/>
        <v>08-Apr-2024</v>
      </c>
      <c r="AD81" t="s">
        <v>52</v>
      </c>
      <c r="AE81" t="s">
        <v>220</v>
      </c>
      <c r="AF81" t="s">
        <v>85</v>
      </c>
      <c r="AG81" t="s">
        <v>45</v>
      </c>
      <c r="AH81" t="s">
        <v>86</v>
      </c>
    </row>
    <row r="82" spans="1:34" x14ac:dyDescent="0.35">
      <c r="A82">
        <v>20136683</v>
      </c>
      <c r="B82" s="3">
        <v>46050.37946625</v>
      </c>
      <c r="C82" s="3">
        <v>46054.383321759262</v>
      </c>
      <c r="D82" s="3" t="str">
        <f t="shared" si="4"/>
        <v>Promoter</v>
      </c>
      <c r="E82" s="7">
        <f t="shared" si="5"/>
        <v>100</v>
      </c>
      <c r="F82">
        <v>10</v>
      </c>
      <c r="G82" s="3">
        <v>46050.370162037034</v>
      </c>
      <c r="H82" t="s">
        <v>34</v>
      </c>
      <c r="I82" t="s">
        <v>35</v>
      </c>
      <c r="J82" t="s">
        <v>48</v>
      </c>
      <c r="K82" t="s">
        <v>37</v>
      </c>
      <c r="L82" t="s">
        <v>38</v>
      </c>
      <c r="M82">
        <v>880</v>
      </c>
      <c r="N82" s="7">
        <v>19597</v>
      </c>
      <c r="O82" s="7" t="str">
        <f>IF(OR(survey_data[[#This Row],[Full Resolution Time]]&gt;$AK$4, survey_data[[#This Row],[Full Resolution Time]] &lt; survey_data[[#This Row],[Lower Bound]]), "Outlier", "Normal")</f>
        <v>Normal</v>
      </c>
      <c r="P82" s="7">
        <f>_xlfn.QUARTILE.INC(survey_data[Full Resolution Time], 1)</f>
        <v>70.5</v>
      </c>
      <c r="Q82">
        <v>10</v>
      </c>
      <c r="R82">
        <v>10</v>
      </c>
      <c r="S82">
        <v>10</v>
      </c>
      <c r="T82">
        <v>10</v>
      </c>
      <c r="U82">
        <v>10</v>
      </c>
      <c r="V82">
        <v>10</v>
      </c>
      <c r="W82">
        <v>10</v>
      </c>
      <c r="X82">
        <v>10</v>
      </c>
      <c r="Y82">
        <v>10</v>
      </c>
      <c r="Z82" t="s">
        <v>49</v>
      </c>
      <c r="AA82" t="s">
        <v>188</v>
      </c>
      <c r="AB82" t="s">
        <v>109</v>
      </c>
      <c r="AC82" s="3" t="str">
        <f t="shared" si="6"/>
        <v>20-Nov-2023</v>
      </c>
      <c r="AD82" t="s">
        <v>136</v>
      </c>
      <c r="AE82" t="s">
        <v>219</v>
      </c>
      <c r="AF82" t="s">
        <v>44</v>
      </c>
      <c r="AG82" t="s">
        <v>45</v>
      </c>
      <c r="AH82" t="s">
        <v>73</v>
      </c>
    </row>
    <row r="83" spans="1:34" x14ac:dyDescent="0.35">
      <c r="A83">
        <v>20158161</v>
      </c>
      <c r="B83" s="3">
        <v>46054.37814912037</v>
      </c>
      <c r="C83" s="3">
        <v>46054.383043981485</v>
      </c>
      <c r="D83" s="3" t="str">
        <f t="shared" si="4"/>
        <v>Promoter</v>
      </c>
      <c r="E83" s="7">
        <f t="shared" si="5"/>
        <v>100</v>
      </c>
      <c r="F83">
        <v>10</v>
      </c>
      <c r="G83" s="3">
        <v>46053.793553240743</v>
      </c>
      <c r="H83" t="s">
        <v>34</v>
      </c>
      <c r="I83" t="s">
        <v>35</v>
      </c>
      <c r="J83" t="s">
        <v>48</v>
      </c>
      <c r="K83" t="s">
        <v>37</v>
      </c>
      <c r="L83" t="s">
        <v>62</v>
      </c>
      <c r="M83">
        <v>11</v>
      </c>
      <c r="N83" s="7">
        <v>38</v>
      </c>
      <c r="O83" s="7" t="str">
        <f>IF(OR(survey_data[[#This Row],[Full Resolution Time]]&gt;$AK$4, survey_data[[#This Row],[Full Resolution Time]] &lt; survey_data[[#This Row],[Lower Bound]]), "Outlier", "Normal")</f>
        <v>Outlier</v>
      </c>
      <c r="P83" s="7">
        <f>_xlfn.QUARTILE.INC(survey_data[Full Resolution Time], 1)</f>
        <v>70.5</v>
      </c>
      <c r="Q83">
        <v>10</v>
      </c>
      <c r="R83">
        <v>10</v>
      </c>
      <c r="S83">
        <v>10</v>
      </c>
      <c r="T83">
        <v>10</v>
      </c>
      <c r="U83">
        <v>10</v>
      </c>
      <c r="V83">
        <v>10</v>
      </c>
      <c r="W83">
        <v>10</v>
      </c>
      <c r="X83">
        <v>10</v>
      </c>
      <c r="Y83">
        <v>10</v>
      </c>
      <c r="Z83" t="s">
        <v>49</v>
      </c>
      <c r="AA83" t="s">
        <v>189</v>
      </c>
      <c r="AB83" t="s">
        <v>130</v>
      </c>
      <c r="AC83" s="3" t="str">
        <f t="shared" si="6"/>
        <v>13-Jun-2023</v>
      </c>
      <c r="AD83" t="s">
        <v>52</v>
      </c>
      <c r="AE83" t="s">
        <v>220</v>
      </c>
      <c r="AF83" t="s">
        <v>44</v>
      </c>
      <c r="AG83" t="s">
        <v>45</v>
      </c>
      <c r="AH83" t="s">
        <v>61</v>
      </c>
    </row>
    <row r="84" spans="1:34" x14ac:dyDescent="0.35">
      <c r="A84">
        <v>20158777</v>
      </c>
      <c r="B84" s="3">
        <v>46054.380380277777</v>
      </c>
      <c r="C84" s="3">
        <v>46054.381828703707</v>
      </c>
      <c r="D84" s="3" t="str">
        <f t="shared" si="4"/>
        <v>Promoter</v>
      </c>
      <c r="E84" s="7">
        <f t="shared" si="5"/>
        <v>100</v>
      </c>
      <c r="F84">
        <v>10</v>
      </c>
      <c r="G84" s="3">
        <v>46054.712673611109</v>
      </c>
      <c r="H84" t="s">
        <v>34</v>
      </c>
      <c r="I84" t="s">
        <v>35</v>
      </c>
      <c r="J84" t="s">
        <v>95</v>
      </c>
      <c r="K84" t="s">
        <v>71</v>
      </c>
      <c r="L84" t="s">
        <v>38</v>
      </c>
      <c r="M84">
        <v>54</v>
      </c>
      <c r="N84" s="7">
        <v>1455</v>
      </c>
      <c r="O84" s="7" t="str">
        <f>IF(OR(survey_data[[#This Row],[Full Resolution Time]]&gt;$AK$4, survey_data[[#This Row],[Full Resolution Time]] &lt; survey_data[[#This Row],[Lower Bound]]), "Outlier", "Normal")</f>
        <v>Normal</v>
      </c>
      <c r="P84" s="7">
        <f>_xlfn.QUARTILE.INC(survey_data[Full Resolution Time], 1)</f>
        <v>70.5</v>
      </c>
      <c r="Q84">
        <v>9</v>
      </c>
      <c r="R84">
        <v>10</v>
      </c>
      <c r="S84">
        <v>9</v>
      </c>
      <c r="T84">
        <v>10</v>
      </c>
      <c r="U84">
        <v>9</v>
      </c>
      <c r="V84">
        <v>8</v>
      </c>
      <c r="W84">
        <v>9</v>
      </c>
      <c r="X84">
        <v>9</v>
      </c>
      <c r="Y84">
        <v>9</v>
      </c>
      <c r="Z84" t="s">
        <v>49</v>
      </c>
      <c r="AA84" t="s">
        <v>190</v>
      </c>
      <c r="AB84" t="s">
        <v>191</v>
      </c>
      <c r="AC84" s="3" t="str">
        <f t="shared" si="6"/>
        <v>21-Sep-2022</v>
      </c>
      <c r="AD84" t="s">
        <v>52</v>
      </c>
      <c r="AE84" t="s">
        <v>220</v>
      </c>
      <c r="AF84" t="s">
        <v>44</v>
      </c>
      <c r="AG84" t="s">
        <v>45</v>
      </c>
      <c r="AH84" t="s">
        <v>126</v>
      </c>
    </row>
    <row r="85" spans="1:34" x14ac:dyDescent="0.35">
      <c r="A85">
        <v>20157798</v>
      </c>
      <c r="B85" s="3">
        <v>46054.376982986112</v>
      </c>
      <c r="C85" s="3">
        <v>46054.379108796296</v>
      </c>
      <c r="D85" s="3" t="str">
        <f t="shared" si="4"/>
        <v>Promoter</v>
      </c>
      <c r="E85" s="7">
        <f t="shared" si="5"/>
        <v>100</v>
      </c>
      <c r="F85">
        <v>10</v>
      </c>
      <c r="G85" s="3">
        <v>46054.639722222222</v>
      </c>
      <c r="H85" t="s">
        <v>34</v>
      </c>
      <c r="I85" t="s">
        <v>35</v>
      </c>
      <c r="J85" t="s">
        <v>4</v>
      </c>
      <c r="K85" t="s">
        <v>69</v>
      </c>
      <c r="L85" t="s">
        <v>38</v>
      </c>
      <c r="M85">
        <v>45</v>
      </c>
      <c r="N85" s="7">
        <v>359</v>
      </c>
      <c r="O85" s="7" t="str">
        <f>IF(OR(survey_data[[#This Row],[Full Resolution Time]]&gt;$AK$4, survey_data[[#This Row],[Full Resolution Time]] &lt; survey_data[[#This Row],[Lower Bound]]), "Outlier", "Normal")</f>
        <v>Normal</v>
      </c>
      <c r="P85" s="7">
        <f>_xlfn.QUARTILE.INC(survey_data[Full Resolution Time], 1)</f>
        <v>70.5</v>
      </c>
      <c r="Q85">
        <v>10</v>
      </c>
      <c r="R85">
        <v>10</v>
      </c>
      <c r="S85">
        <v>10</v>
      </c>
      <c r="T85">
        <v>10</v>
      </c>
      <c r="U85">
        <v>10</v>
      </c>
      <c r="V85">
        <v>10</v>
      </c>
      <c r="W85">
        <v>10</v>
      </c>
      <c r="X85">
        <v>10</v>
      </c>
      <c r="Y85">
        <v>10</v>
      </c>
      <c r="AA85" t="s">
        <v>129</v>
      </c>
      <c r="AB85" t="s">
        <v>130</v>
      </c>
      <c r="AC85" s="3" t="str">
        <f t="shared" si="6"/>
        <v>13-Jun-2023</v>
      </c>
      <c r="AD85" t="s">
        <v>52</v>
      </c>
      <c r="AE85" t="s">
        <v>220</v>
      </c>
      <c r="AF85" t="s">
        <v>44</v>
      </c>
      <c r="AG85" t="s">
        <v>45</v>
      </c>
      <c r="AH85" t="s">
        <v>65</v>
      </c>
    </row>
    <row r="86" spans="1:34" x14ac:dyDescent="0.35">
      <c r="A86">
        <v>20157931</v>
      </c>
      <c r="B86" s="3">
        <v>46054.377424618055</v>
      </c>
      <c r="C86" s="3">
        <v>46054.378738425927</v>
      </c>
      <c r="D86" s="3" t="str">
        <f t="shared" si="4"/>
        <v>Promoter</v>
      </c>
      <c r="E86" s="7">
        <f t="shared" si="5"/>
        <v>100</v>
      </c>
      <c r="F86">
        <v>10</v>
      </c>
      <c r="G86" s="3">
        <v>46054.550555555557</v>
      </c>
      <c r="H86" t="s">
        <v>58</v>
      </c>
      <c r="I86" t="s">
        <v>35</v>
      </c>
      <c r="J86" t="s">
        <v>48</v>
      </c>
      <c r="K86" t="s">
        <v>69</v>
      </c>
      <c r="L86" t="s">
        <v>62</v>
      </c>
      <c r="M86">
        <v>11</v>
      </c>
      <c r="N86" s="7">
        <v>29</v>
      </c>
      <c r="O86" s="7" t="str">
        <f>IF(OR(survey_data[[#This Row],[Full Resolution Time]]&gt;$AK$4, survey_data[[#This Row],[Full Resolution Time]] &lt; survey_data[[#This Row],[Lower Bound]]), "Outlier", "Normal")</f>
        <v>Outlier</v>
      </c>
      <c r="P86" s="7">
        <f>_xlfn.QUARTILE.INC(survey_data[Full Resolution Time], 1)</f>
        <v>70.5</v>
      </c>
      <c r="Q86">
        <v>10</v>
      </c>
      <c r="R86">
        <v>10</v>
      </c>
      <c r="S86">
        <v>10</v>
      </c>
      <c r="T86">
        <v>10</v>
      </c>
      <c r="U86">
        <v>10</v>
      </c>
      <c r="V86">
        <v>10</v>
      </c>
      <c r="W86">
        <v>10</v>
      </c>
      <c r="X86">
        <v>10</v>
      </c>
      <c r="Y86">
        <v>10</v>
      </c>
      <c r="Z86" t="s">
        <v>49</v>
      </c>
      <c r="AA86" t="s">
        <v>179</v>
      </c>
      <c r="AB86" t="s">
        <v>180</v>
      </c>
      <c r="AC86" s="3" t="str">
        <f t="shared" si="6"/>
        <v>09-Sep-2024</v>
      </c>
      <c r="AD86" t="s">
        <v>52</v>
      </c>
      <c r="AE86" t="s">
        <v>220</v>
      </c>
      <c r="AF86" t="s">
        <v>44</v>
      </c>
      <c r="AG86" t="s">
        <v>45</v>
      </c>
      <c r="AH86" t="s">
        <v>61</v>
      </c>
    </row>
    <row r="87" spans="1:34" x14ac:dyDescent="0.35">
      <c r="A87">
        <v>20135745</v>
      </c>
      <c r="B87" s="3">
        <v>46050.376380254631</v>
      </c>
      <c r="C87" s="3">
        <v>46054.378738425927</v>
      </c>
      <c r="D87" s="3" t="str">
        <f t="shared" si="4"/>
        <v>Promoter</v>
      </c>
      <c r="E87" s="7">
        <f t="shared" si="5"/>
        <v>100</v>
      </c>
      <c r="F87">
        <v>9</v>
      </c>
      <c r="G87" s="3">
        <v>46050.700266203705</v>
      </c>
      <c r="H87" t="s">
        <v>58</v>
      </c>
      <c r="I87" t="s">
        <v>35</v>
      </c>
      <c r="J87" t="s">
        <v>48</v>
      </c>
      <c r="K87" t="s">
        <v>119</v>
      </c>
      <c r="L87" t="s">
        <v>38</v>
      </c>
      <c r="M87">
        <v>57</v>
      </c>
      <c r="N87" s="7">
        <v>910</v>
      </c>
      <c r="O87" s="7" t="str">
        <f>IF(OR(survey_data[[#This Row],[Full Resolution Time]]&gt;$AK$4, survey_data[[#This Row],[Full Resolution Time]] &lt; survey_data[[#This Row],[Lower Bound]]), "Outlier", "Normal")</f>
        <v>Normal</v>
      </c>
      <c r="P87" s="7">
        <f>_xlfn.QUARTILE.INC(survey_data[Full Resolution Time], 1)</f>
        <v>70.5</v>
      </c>
      <c r="Q87">
        <v>9</v>
      </c>
      <c r="R87">
        <v>9</v>
      </c>
      <c r="S87">
        <v>9</v>
      </c>
      <c r="T87">
        <v>9</v>
      </c>
      <c r="U87">
        <v>9</v>
      </c>
      <c r="V87">
        <v>9</v>
      </c>
      <c r="W87">
        <v>9</v>
      </c>
      <c r="X87">
        <v>9</v>
      </c>
      <c r="Y87">
        <v>7</v>
      </c>
      <c r="Z87" t="s">
        <v>49</v>
      </c>
      <c r="AA87" t="s">
        <v>179</v>
      </c>
      <c r="AB87" t="s">
        <v>180</v>
      </c>
      <c r="AC87" s="3" t="str">
        <f t="shared" si="6"/>
        <v>09-Sep-2024</v>
      </c>
      <c r="AD87" t="s">
        <v>52</v>
      </c>
      <c r="AE87" t="s">
        <v>220</v>
      </c>
      <c r="AF87" t="s">
        <v>44</v>
      </c>
      <c r="AG87" t="s">
        <v>45</v>
      </c>
      <c r="AH87" t="s">
        <v>61</v>
      </c>
    </row>
    <row r="88" spans="1:34" x14ac:dyDescent="0.35">
      <c r="A88">
        <v>20135927</v>
      </c>
      <c r="B88" s="3">
        <v>46050.376992233796</v>
      </c>
      <c r="C88" s="3">
        <v>46054.378692129627</v>
      </c>
      <c r="D88" s="3" t="str">
        <f t="shared" si="4"/>
        <v>Detractor</v>
      </c>
      <c r="E88" s="7">
        <f t="shared" si="5"/>
        <v>-100</v>
      </c>
      <c r="F88">
        <v>1</v>
      </c>
      <c r="G88" s="3">
        <v>46050.596921296295</v>
      </c>
      <c r="H88" t="s">
        <v>54</v>
      </c>
      <c r="I88" t="s">
        <v>35</v>
      </c>
      <c r="J88" t="s">
        <v>4</v>
      </c>
      <c r="K88" t="s">
        <v>55</v>
      </c>
      <c r="L88" t="s">
        <v>38</v>
      </c>
      <c r="M88">
        <v>121</v>
      </c>
      <c r="N88" s="7">
        <v>1190</v>
      </c>
      <c r="O88" s="7" t="str">
        <f>IF(OR(survey_data[[#This Row],[Full Resolution Time]]&gt;$AK$4, survey_data[[#This Row],[Full Resolution Time]] &lt; survey_data[[#This Row],[Lower Bound]]), "Outlier", "Normal")</f>
        <v>Normal</v>
      </c>
      <c r="P88" s="7">
        <f>_xlfn.QUARTILE.INC(survey_data[Full Resolution Time], 1)</f>
        <v>70.5</v>
      </c>
      <c r="Q88">
        <v>10</v>
      </c>
      <c r="R88">
        <v>9</v>
      </c>
      <c r="S88">
        <v>9</v>
      </c>
      <c r="T88">
        <v>8</v>
      </c>
      <c r="U88">
        <v>9</v>
      </c>
      <c r="V88">
        <v>9</v>
      </c>
      <c r="W88">
        <v>9</v>
      </c>
      <c r="X88">
        <v>9</v>
      </c>
      <c r="Y88">
        <v>10</v>
      </c>
      <c r="Z88" t="s">
        <v>49</v>
      </c>
      <c r="AA88" t="s">
        <v>192</v>
      </c>
      <c r="AB88" t="s">
        <v>147</v>
      </c>
      <c r="AC88" s="3" t="str">
        <f t="shared" si="6"/>
        <v>21-Aug-2023</v>
      </c>
      <c r="AD88" t="s">
        <v>52</v>
      </c>
      <c r="AE88" t="s">
        <v>219</v>
      </c>
      <c r="AF88" t="s">
        <v>44</v>
      </c>
      <c r="AG88" t="s">
        <v>45</v>
      </c>
      <c r="AH88" t="s">
        <v>53</v>
      </c>
    </row>
    <row r="89" spans="1:34" x14ac:dyDescent="0.35">
      <c r="A89">
        <v>20135420</v>
      </c>
      <c r="B89" s="3">
        <v>46050.375361238424</v>
      </c>
      <c r="C89" s="3">
        <v>46054.378506944442</v>
      </c>
      <c r="D89" s="3" t="str">
        <f t="shared" si="4"/>
        <v>Passive</v>
      </c>
      <c r="E89" s="7">
        <f t="shared" si="5"/>
        <v>0</v>
      </c>
      <c r="F89">
        <v>8</v>
      </c>
      <c r="G89" s="3">
        <v>46049.713692129626</v>
      </c>
      <c r="H89" t="s">
        <v>58</v>
      </c>
      <c r="I89" t="s">
        <v>35</v>
      </c>
      <c r="J89" t="s">
        <v>4</v>
      </c>
      <c r="K89" t="s">
        <v>69</v>
      </c>
      <c r="L89" t="s">
        <v>38</v>
      </c>
      <c r="M89">
        <v>1875</v>
      </c>
      <c r="N89" s="7">
        <v>52721</v>
      </c>
      <c r="O89" s="7" t="str">
        <f>IF(OR(survey_data[[#This Row],[Full Resolution Time]]&gt;$AK$4, survey_data[[#This Row],[Full Resolution Time]] &lt; survey_data[[#This Row],[Lower Bound]]), "Outlier", "Normal")</f>
        <v>Outlier</v>
      </c>
      <c r="P89" s="7">
        <f>_xlfn.QUARTILE.INC(survey_data[Full Resolution Time], 1)</f>
        <v>70.5</v>
      </c>
      <c r="Q89">
        <v>9</v>
      </c>
      <c r="R89">
        <v>10</v>
      </c>
      <c r="S89">
        <v>10</v>
      </c>
      <c r="T89">
        <v>6</v>
      </c>
      <c r="U89">
        <v>10</v>
      </c>
      <c r="V89">
        <v>10</v>
      </c>
      <c r="W89">
        <v>10</v>
      </c>
      <c r="X89">
        <v>10</v>
      </c>
      <c r="Y89">
        <v>2</v>
      </c>
      <c r="Z89" t="s">
        <v>49</v>
      </c>
      <c r="AA89" t="s">
        <v>193</v>
      </c>
      <c r="AB89" t="s">
        <v>72</v>
      </c>
      <c r="AC89" s="3" t="str">
        <f t="shared" si="6"/>
        <v>10-Jun-2025</v>
      </c>
      <c r="AD89" t="s">
        <v>52</v>
      </c>
      <c r="AE89" t="s">
        <v>219</v>
      </c>
      <c r="AF89" t="s">
        <v>44</v>
      </c>
      <c r="AG89" t="s">
        <v>45</v>
      </c>
      <c r="AH89" t="s">
        <v>61</v>
      </c>
    </row>
    <row r="90" spans="1:34" x14ac:dyDescent="0.35">
      <c r="A90">
        <v>20135561</v>
      </c>
      <c r="B90" s="3">
        <v>46050.375802060182</v>
      </c>
      <c r="C90" s="3">
        <v>46054.377256944441</v>
      </c>
      <c r="D90" s="3" t="str">
        <f t="shared" si="4"/>
        <v>Promoter</v>
      </c>
      <c r="E90" s="7">
        <f t="shared" si="5"/>
        <v>100</v>
      </c>
      <c r="F90">
        <v>9</v>
      </c>
      <c r="G90" s="3">
        <v>46050.459490740737</v>
      </c>
      <c r="H90" t="s">
        <v>34</v>
      </c>
      <c r="I90" t="s">
        <v>35</v>
      </c>
      <c r="J90" t="s">
        <v>4</v>
      </c>
      <c r="K90" t="s">
        <v>120</v>
      </c>
      <c r="L90" t="s">
        <v>38</v>
      </c>
      <c r="M90">
        <v>600</v>
      </c>
      <c r="N90" s="7">
        <v>6172</v>
      </c>
      <c r="O90" s="7" t="str">
        <f>IF(OR(survey_data[[#This Row],[Full Resolution Time]]&gt;$AK$4, survey_data[[#This Row],[Full Resolution Time]] &lt; survey_data[[#This Row],[Lower Bound]]), "Outlier", "Normal")</f>
        <v>Normal</v>
      </c>
      <c r="P90" s="7">
        <f>_xlfn.QUARTILE.INC(survey_data[Full Resolution Time], 1)</f>
        <v>70.5</v>
      </c>
      <c r="Q90">
        <v>8</v>
      </c>
      <c r="R90">
        <v>9</v>
      </c>
      <c r="S90">
        <v>10</v>
      </c>
      <c r="T90">
        <v>8</v>
      </c>
      <c r="U90">
        <v>10</v>
      </c>
      <c r="V90">
        <v>9</v>
      </c>
      <c r="W90">
        <v>9</v>
      </c>
      <c r="X90">
        <v>9</v>
      </c>
      <c r="Y90">
        <v>9</v>
      </c>
      <c r="Z90" t="s">
        <v>49</v>
      </c>
      <c r="AA90" t="s">
        <v>194</v>
      </c>
      <c r="AB90" t="s">
        <v>174</v>
      </c>
      <c r="AC90" s="3" t="str">
        <f t="shared" si="6"/>
        <v>08-Apr-2024</v>
      </c>
      <c r="AD90" t="s">
        <v>52</v>
      </c>
      <c r="AE90" t="s">
        <v>220</v>
      </c>
      <c r="AF90" t="s">
        <v>44</v>
      </c>
      <c r="AG90" t="s">
        <v>45</v>
      </c>
      <c r="AH90" t="s">
        <v>53</v>
      </c>
    </row>
    <row r="91" spans="1:34" x14ac:dyDescent="0.35">
      <c r="A91">
        <v>20131181</v>
      </c>
      <c r="B91" s="3">
        <v>46049.379596030092</v>
      </c>
      <c r="C91" s="3">
        <v>46054.374085648145</v>
      </c>
      <c r="D91" s="3" t="str">
        <f t="shared" si="4"/>
        <v>Promoter</v>
      </c>
      <c r="E91" s="7">
        <f t="shared" si="5"/>
        <v>100</v>
      </c>
      <c r="F91">
        <v>9</v>
      </c>
      <c r="G91" s="3">
        <v>46049.034884259258</v>
      </c>
      <c r="H91" t="s">
        <v>34</v>
      </c>
      <c r="I91" t="s">
        <v>35</v>
      </c>
      <c r="J91" t="s">
        <v>48</v>
      </c>
      <c r="K91" t="s">
        <v>55</v>
      </c>
      <c r="L91" t="s">
        <v>38</v>
      </c>
      <c r="M91">
        <v>954</v>
      </c>
      <c r="N91" s="7">
        <v>15022</v>
      </c>
      <c r="O91" s="7" t="str">
        <f>IF(OR(survey_data[[#This Row],[Full Resolution Time]]&gt;$AK$4, survey_data[[#This Row],[Full Resolution Time]] &lt; survey_data[[#This Row],[Lower Bound]]), "Outlier", "Normal")</f>
        <v>Normal</v>
      </c>
      <c r="P91" s="7">
        <f>_xlfn.QUARTILE.INC(survey_data[Full Resolution Time], 1)</f>
        <v>70.5</v>
      </c>
      <c r="Q91">
        <v>8</v>
      </c>
      <c r="R91">
        <v>7</v>
      </c>
      <c r="S91">
        <v>5</v>
      </c>
      <c r="T91">
        <v>2</v>
      </c>
      <c r="U91">
        <v>4</v>
      </c>
      <c r="V91">
        <v>5</v>
      </c>
      <c r="W91">
        <v>8</v>
      </c>
      <c r="X91">
        <v>10</v>
      </c>
      <c r="Y91">
        <v>1</v>
      </c>
      <c r="Z91" t="s">
        <v>49</v>
      </c>
      <c r="AA91" t="s">
        <v>153</v>
      </c>
      <c r="AB91" t="s">
        <v>154</v>
      </c>
      <c r="AC91" s="3" t="str">
        <f t="shared" si="6"/>
        <v>16-May-2024</v>
      </c>
      <c r="AD91" t="s">
        <v>52</v>
      </c>
      <c r="AE91" t="s">
        <v>220</v>
      </c>
      <c r="AF91" t="s">
        <v>44</v>
      </c>
      <c r="AG91" t="s">
        <v>45</v>
      </c>
      <c r="AH91" t="s">
        <v>53</v>
      </c>
    </row>
    <row r="92" spans="1:34" x14ac:dyDescent="0.35">
      <c r="A92">
        <v>20157198</v>
      </c>
      <c r="B92" s="3">
        <v>46054.362514641201</v>
      </c>
      <c r="C92" s="3">
        <v>46054.362812500003</v>
      </c>
      <c r="D92" s="3" t="str">
        <f t="shared" si="4"/>
        <v>Promoter</v>
      </c>
      <c r="E92" s="7">
        <f t="shared" si="5"/>
        <v>100</v>
      </c>
      <c r="F92">
        <v>10</v>
      </c>
      <c r="G92" s="3">
        <v>46054.695034722223</v>
      </c>
      <c r="H92" t="s">
        <v>34</v>
      </c>
      <c r="I92" t="s">
        <v>35</v>
      </c>
      <c r="J92" t="s">
        <v>95</v>
      </c>
      <c r="K92" t="s">
        <v>77</v>
      </c>
      <c r="L92" t="s">
        <v>38</v>
      </c>
      <c r="M92">
        <v>51</v>
      </c>
      <c r="N92" s="7">
        <v>56</v>
      </c>
      <c r="O92" s="7" t="str">
        <f>IF(OR(survey_data[[#This Row],[Full Resolution Time]]&gt;$AK$4, survey_data[[#This Row],[Full Resolution Time]] &lt; survey_data[[#This Row],[Lower Bound]]), "Outlier", "Normal")</f>
        <v>Outlier</v>
      </c>
      <c r="P92" s="7">
        <f>_xlfn.QUARTILE.INC(survey_data[Full Resolution Time], 1)</f>
        <v>70.5</v>
      </c>
      <c r="Q92">
        <v>10</v>
      </c>
      <c r="R92">
        <v>10</v>
      </c>
      <c r="S92">
        <v>10</v>
      </c>
      <c r="T92">
        <v>10</v>
      </c>
      <c r="U92">
        <v>10</v>
      </c>
      <c r="V92">
        <v>10</v>
      </c>
      <c r="W92">
        <v>10</v>
      </c>
      <c r="X92">
        <v>10</v>
      </c>
      <c r="Y92">
        <v>10</v>
      </c>
      <c r="Z92" t="s">
        <v>49</v>
      </c>
      <c r="AA92" t="s">
        <v>195</v>
      </c>
      <c r="AB92" t="s">
        <v>144</v>
      </c>
      <c r="AC92" s="3" t="str">
        <f t="shared" si="6"/>
        <v>12-Apr-2024</v>
      </c>
      <c r="AD92" t="s">
        <v>52</v>
      </c>
      <c r="AE92" t="s">
        <v>220</v>
      </c>
      <c r="AF92" t="s">
        <v>44</v>
      </c>
      <c r="AG92" t="s">
        <v>45</v>
      </c>
      <c r="AH92" t="s">
        <v>53</v>
      </c>
    </row>
    <row r="93" spans="1:34" x14ac:dyDescent="0.35">
      <c r="A93">
        <v>20152401</v>
      </c>
      <c r="B93" s="3">
        <v>46053.37612778935</v>
      </c>
      <c r="C93" s="3">
        <v>46054.344757974533</v>
      </c>
      <c r="D93" s="3" t="str">
        <f t="shared" si="4"/>
        <v>Promoter</v>
      </c>
      <c r="E93" s="7">
        <f t="shared" si="5"/>
        <v>100</v>
      </c>
      <c r="F93">
        <v>9</v>
      </c>
      <c r="G93" s="3">
        <v>46053.01767361111</v>
      </c>
      <c r="H93" t="s">
        <v>34</v>
      </c>
      <c r="I93" t="s">
        <v>35</v>
      </c>
      <c r="J93" t="s">
        <v>95</v>
      </c>
      <c r="K93" t="s">
        <v>196</v>
      </c>
      <c r="L93" t="s">
        <v>38</v>
      </c>
      <c r="M93">
        <v>126</v>
      </c>
      <c r="N93" s="7">
        <v>126</v>
      </c>
      <c r="O93" s="7" t="str">
        <f>IF(OR(survey_data[[#This Row],[Full Resolution Time]]&gt;$AK$4, survey_data[[#This Row],[Full Resolution Time]] &lt; survey_data[[#This Row],[Lower Bound]]), "Outlier", "Normal")</f>
        <v>Normal</v>
      </c>
      <c r="P93" s="7">
        <f>_xlfn.QUARTILE.INC(survey_data[Full Resolution Time], 1)</f>
        <v>70.5</v>
      </c>
      <c r="Q93">
        <v>10</v>
      </c>
      <c r="R93">
        <v>10</v>
      </c>
      <c r="S93">
        <v>10</v>
      </c>
      <c r="T93">
        <v>10</v>
      </c>
      <c r="U93">
        <v>10</v>
      </c>
      <c r="V93">
        <v>10</v>
      </c>
      <c r="W93">
        <v>10</v>
      </c>
      <c r="X93">
        <v>10</v>
      </c>
      <c r="Y93">
        <v>10</v>
      </c>
      <c r="Z93" t="s">
        <v>49</v>
      </c>
      <c r="AA93" t="s">
        <v>197</v>
      </c>
      <c r="AB93" t="s">
        <v>144</v>
      </c>
      <c r="AC93" s="3" t="str">
        <f t="shared" si="6"/>
        <v>12-Apr-2024</v>
      </c>
      <c r="AD93" t="s">
        <v>52</v>
      </c>
      <c r="AE93" t="s">
        <v>220</v>
      </c>
      <c r="AF93" t="s">
        <v>44</v>
      </c>
      <c r="AG93" t="s">
        <v>45</v>
      </c>
      <c r="AH93" t="s">
        <v>61</v>
      </c>
    </row>
    <row r="94" spans="1:34" x14ac:dyDescent="0.35">
      <c r="A94">
        <v>20147455</v>
      </c>
      <c r="B94" s="3">
        <v>46052.377774305554</v>
      </c>
      <c r="C94" s="3">
        <v>46054.319745370369</v>
      </c>
      <c r="D94" s="3" t="str">
        <f t="shared" si="4"/>
        <v>Passive</v>
      </c>
      <c r="E94" s="7">
        <f t="shared" si="5"/>
        <v>0</v>
      </c>
      <c r="F94">
        <v>8</v>
      </c>
      <c r="G94" s="3">
        <v>46052.575891203705</v>
      </c>
      <c r="H94" t="s">
        <v>54</v>
      </c>
      <c r="I94" t="s">
        <v>35</v>
      </c>
      <c r="J94" t="s">
        <v>48</v>
      </c>
      <c r="K94" t="s">
        <v>120</v>
      </c>
      <c r="L94" t="s">
        <v>62</v>
      </c>
      <c r="M94">
        <v>0</v>
      </c>
      <c r="N94" s="7">
        <v>32</v>
      </c>
      <c r="O94" s="7" t="str">
        <f>IF(OR(survey_data[[#This Row],[Full Resolution Time]]&gt;$AK$4, survey_data[[#This Row],[Full Resolution Time]] &lt; survey_data[[#This Row],[Lower Bound]]), "Outlier", "Normal")</f>
        <v>Outlier</v>
      </c>
      <c r="P94" s="7">
        <f>_xlfn.QUARTILE.INC(survey_data[Full Resolution Time], 1)</f>
        <v>70.5</v>
      </c>
      <c r="Q94">
        <v>10</v>
      </c>
      <c r="R94">
        <v>9</v>
      </c>
      <c r="S94" t="s">
        <v>39</v>
      </c>
      <c r="T94" t="s">
        <v>39</v>
      </c>
      <c r="U94">
        <v>10</v>
      </c>
      <c r="V94">
        <v>10</v>
      </c>
      <c r="W94">
        <v>10</v>
      </c>
      <c r="X94">
        <v>10</v>
      </c>
      <c r="Y94">
        <v>10</v>
      </c>
      <c r="Z94" t="s">
        <v>49</v>
      </c>
      <c r="AA94" t="s">
        <v>192</v>
      </c>
      <c r="AB94" t="s">
        <v>147</v>
      </c>
      <c r="AC94" s="3" t="str">
        <f t="shared" si="6"/>
        <v>21-Aug-2023</v>
      </c>
      <c r="AD94" t="s">
        <v>52</v>
      </c>
      <c r="AE94" t="s">
        <v>219</v>
      </c>
      <c r="AF94" t="s">
        <v>44</v>
      </c>
      <c r="AG94" t="s">
        <v>45</v>
      </c>
      <c r="AH94" t="s">
        <v>53</v>
      </c>
    </row>
    <row r="95" spans="1:34" x14ac:dyDescent="0.35">
      <c r="A95">
        <v>20152211</v>
      </c>
      <c r="B95" s="3">
        <v>46053.375520243055</v>
      </c>
      <c r="C95" s="3">
        <v>46054.303368055553</v>
      </c>
      <c r="D95" s="3" t="str">
        <f t="shared" si="4"/>
        <v>Promoter</v>
      </c>
      <c r="E95" s="7">
        <f t="shared" si="5"/>
        <v>100</v>
      </c>
      <c r="F95">
        <v>10</v>
      </c>
      <c r="G95" s="3">
        <v>46053.545567129629</v>
      </c>
      <c r="H95" t="s">
        <v>58</v>
      </c>
      <c r="I95" t="s">
        <v>35</v>
      </c>
      <c r="J95" t="s">
        <v>4</v>
      </c>
      <c r="K95" t="s">
        <v>69</v>
      </c>
      <c r="L95" t="s">
        <v>38</v>
      </c>
      <c r="M95">
        <v>1324</v>
      </c>
      <c r="N95" s="7">
        <v>49808</v>
      </c>
      <c r="O95" s="7" t="str">
        <f>IF(OR(survey_data[[#This Row],[Full Resolution Time]]&gt;$AK$4, survey_data[[#This Row],[Full Resolution Time]] &lt; survey_data[[#This Row],[Lower Bound]]), "Outlier", "Normal")</f>
        <v>Outlier</v>
      </c>
      <c r="P95" s="7">
        <f>_xlfn.QUARTILE.INC(survey_data[Full Resolution Time], 1)</f>
        <v>70.5</v>
      </c>
      <c r="Q95">
        <v>10</v>
      </c>
      <c r="R95">
        <v>10</v>
      </c>
      <c r="S95">
        <v>10</v>
      </c>
      <c r="T95">
        <v>10</v>
      </c>
      <c r="U95">
        <v>10</v>
      </c>
      <c r="V95">
        <v>10</v>
      </c>
      <c r="W95">
        <v>10</v>
      </c>
      <c r="X95">
        <v>10</v>
      </c>
      <c r="Y95">
        <v>4</v>
      </c>
      <c r="Z95" t="s">
        <v>49</v>
      </c>
      <c r="AA95" t="s">
        <v>198</v>
      </c>
      <c r="AB95" t="s">
        <v>133</v>
      </c>
      <c r="AC95" s="3" t="str">
        <f t="shared" si="6"/>
        <v>27-Oct-2023</v>
      </c>
      <c r="AD95" t="s">
        <v>136</v>
      </c>
      <c r="AE95" t="s">
        <v>219</v>
      </c>
      <c r="AF95" t="s">
        <v>44</v>
      </c>
      <c r="AG95" t="s">
        <v>45</v>
      </c>
      <c r="AH95" t="s">
        <v>46</v>
      </c>
    </row>
    <row r="96" spans="1:34" x14ac:dyDescent="0.35">
      <c r="A96">
        <v>20156858</v>
      </c>
      <c r="B96" s="3">
        <v>46054.279977106482</v>
      </c>
      <c r="C96" s="3">
        <v>46054.279791666668</v>
      </c>
      <c r="D96" s="3" t="str">
        <f t="shared" si="4"/>
        <v>Promoter</v>
      </c>
      <c r="E96" s="7">
        <f t="shared" si="5"/>
        <v>100</v>
      </c>
      <c r="F96">
        <v>10</v>
      </c>
      <c r="G96" s="3">
        <v>46054.612442129626</v>
      </c>
      <c r="H96" t="s">
        <v>34</v>
      </c>
      <c r="I96" t="s">
        <v>35</v>
      </c>
      <c r="J96" t="s">
        <v>95</v>
      </c>
      <c r="K96" t="s">
        <v>77</v>
      </c>
      <c r="L96" t="s">
        <v>38</v>
      </c>
      <c r="M96">
        <v>24</v>
      </c>
      <c r="N96" s="7">
        <v>24</v>
      </c>
      <c r="O96" s="7" t="str">
        <f>IF(OR(survey_data[[#This Row],[Full Resolution Time]]&gt;$AK$4, survey_data[[#This Row],[Full Resolution Time]] &lt; survey_data[[#This Row],[Lower Bound]]), "Outlier", "Normal")</f>
        <v>Outlier</v>
      </c>
      <c r="P96" s="7">
        <f>_xlfn.QUARTILE.INC(survey_data[Full Resolution Time], 1)</f>
        <v>70.5</v>
      </c>
      <c r="Q96">
        <v>10</v>
      </c>
      <c r="R96">
        <v>10</v>
      </c>
      <c r="S96">
        <v>10</v>
      </c>
      <c r="T96">
        <v>10</v>
      </c>
      <c r="U96">
        <v>10</v>
      </c>
      <c r="V96">
        <v>10</v>
      </c>
      <c r="W96">
        <v>10</v>
      </c>
      <c r="X96">
        <v>10</v>
      </c>
      <c r="Y96">
        <v>10</v>
      </c>
      <c r="Z96" t="s">
        <v>49</v>
      </c>
      <c r="AA96" t="s">
        <v>171</v>
      </c>
      <c r="AB96" t="s">
        <v>154</v>
      </c>
      <c r="AC96" s="3" t="str">
        <f t="shared" si="6"/>
        <v>16-May-2024</v>
      </c>
      <c r="AD96" t="s">
        <v>52</v>
      </c>
      <c r="AE96" t="s">
        <v>220</v>
      </c>
      <c r="AF96" t="s">
        <v>44</v>
      </c>
      <c r="AG96" t="s">
        <v>45</v>
      </c>
      <c r="AH96" t="s">
        <v>53</v>
      </c>
    </row>
    <row r="97" spans="1:34" x14ac:dyDescent="0.35">
      <c r="A97">
        <v>20156794</v>
      </c>
      <c r="B97" s="3">
        <v>46054.258123460648</v>
      </c>
      <c r="C97" s="3">
        <v>46054.25818287037</v>
      </c>
      <c r="D97" s="3" t="str">
        <f t="shared" si="4"/>
        <v>Promoter</v>
      </c>
      <c r="E97" s="7">
        <f t="shared" si="5"/>
        <v>100</v>
      </c>
      <c r="F97">
        <v>10</v>
      </c>
      <c r="G97" s="3">
        <v>46054.590682870374</v>
      </c>
      <c r="H97" t="s">
        <v>34</v>
      </c>
      <c r="I97" t="s">
        <v>35</v>
      </c>
      <c r="J97" t="s">
        <v>95</v>
      </c>
      <c r="K97" t="s">
        <v>69</v>
      </c>
      <c r="L97" t="s">
        <v>38</v>
      </c>
      <c r="M97">
        <v>14</v>
      </c>
      <c r="N97" s="7">
        <v>15</v>
      </c>
      <c r="O97" s="7" t="str">
        <f>IF(OR(survey_data[[#This Row],[Full Resolution Time]]&gt;$AK$4, survey_data[[#This Row],[Full Resolution Time]] &lt; survey_data[[#This Row],[Lower Bound]]), "Outlier", "Normal")</f>
        <v>Outlier</v>
      </c>
      <c r="P97" s="7">
        <f>_xlfn.QUARTILE.INC(survey_data[Full Resolution Time], 1)</f>
        <v>70.5</v>
      </c>
      <c r="Q97">
        <v>10</v>
      </c>
      <c r="R97">
        <v>10</v>
      </c>
      <c r="S97">
        <v>10</v>
      </c>
      <c r="T97">
        <v>10</v>
      </c>
      <c r="U97">
        <v>10</v>
      </c>
      <c r="V97">
        <v>10</v>
      </c>
      <c r="W97">
        <v>10</v>
      </c>
      <c r="X97">
        <v>10</v>
      </c>
      <c r="Y97">
        <v>10</v>
      </c>
      <c r="Z97" t="s">
        <v>49</v>
      </c>
      <c r="AA97" t="s">
        <v>199</v>
      </c>
      <c r="AB97" t="s">
        <v>174</v>
      </c>
      <c r="AC97" s="3" t="str">
        <f t="shared" si="6"/>
        <v>08-Apr-2024</v>
      </c>
      <c r="AD97" t="s">
        <v>52</v>
      </c>
      <c r="AE97" t="s">
        <v>220</v>
      </c>
      <c r="AF97" t="s">
        <v>44</v>
      </c>
      <c r="AG97" t="s">
        <v>45</v>
      </c>
      <c r="AH97" t="s">
        <v>65</v>
      </c>
    </row>
    <row r="98" spans="1:34" x14ac:dyDescent="0.35">
      <c r="A98">
        <v>20148021</v>
      </c>
      <c r="B98" s="3">
        <v>46052.379683819447</v>
      </c>
      <c r="C98" s="3">
        <v>46054.253657407404</v>
      </c>
      <c r="D98" s="3" t="str">
        <f t="shared" ref="D98:D103" si="7">IF(E98 = 100, "Promoter", IF(E98 = -100, "Detractor", "Passive"))</f>
        <v>Detractor</v>
      </c>
      <c r="E98" s="7">
        <f t="shared" si="5"/>
        <v>-100</v>
      </c>
      <c r="F98">
        <v>0</v>
      </c>
      <c r="G98" s="3">
        <v>46051.834999999999</v>
      </c>
      <c r="H98" t="s">
        <v>58</v>
      </c>
      <c r="I98" t="s">
        <v>35</v>
      </c>
      <c r="J98" t="s">
        <v>4</v>
      </c>
      <c r="K98" t="s">
        <v>71</v>
      </c>
      <c r="L98" t="s">
        <v>38</v>
      </c>
      <c r="M98">
        <v>1560</v>
      </c>
      <c r="N98" s="7">
        <v>20321</v>
      </c>
      <c r="O98" s="7" t="str">
        <f>IF(OR(survey_data[[#This Row],[Full Resolution Time]]&gt;$AK$4, survey_data[[#This Row],[Full Resolution Time]] &lt; survey_data[[#This Row],[Lower Bound]]), "Outlier", "Normal")</f>
        <v>Normal</v>
      </c>
      <c r="P98" s="7">
        <f>_xlfn.QUARTILE.INC(survey_data[Full Resolution Time], 1)</f>
        <v>70.5</v>
      </c>
      <c r="Q98">
        <v>0</v>
      </c>
      <c r="R98">
        <v>0</v>
      </c>
      <c r="S98">
        <v>0</v>
      </c>
      <c r="T98">
        <v>0</v>
      </c>
      <c r="U98">
        <v>0</v>
      </c>
      <c r="V98">
        <v>0</v>
      </c>
      <c r="W98">
        <v>0</v>
      </c>
      <c r="X98">
        <v>0</v>
      </c>
      <c r="Y98">
        <v>0</v>
      </c>
      <c r="Z98" t="s">
        <v>100</v>
      </c>
      <c r="AA98" t="s">
        <v>200</v>
      </c>
      <c r="AB98" t="s">
        <v>72</v>
      </c>
      <c r="AC98" s="3" t="str">
        <f t="shared" si="6"/>
        <v>10-Jun-2025</v>
      </c>
      <c r="AD98" t="s">
        <v>52</v>
      </c>
      <c r="AE98" t="s">
        <v>219</v>
      </c>
      <c r="AF98" t="s">
        <v>85</v>
      </c>
      <c r="AG98" t="s">
        <v>45</v>
      </c>
      <c r="AH98" t="s">
        <v>86</v>
      </c>
    </row>
    <row r="99" spans="1:34" x14ac:dyDescent="0.35">
      <c r="A99">
        <v>20152430</v>
      </c>
      <c r="B99" s="3">
        <v>46053.376247789354</v>
      </c>
      <c r="C99" s="3">
        <v>46054.240740740737</v>
      </c>
      <c r="D99" s="3" t="str">
        <f t="shared" si="7"/>
        <v>Passive</v>
      </c>
      <c r="E99" s="7">
        <f t="shared" si="5"/>
        <v>0</v>
      </c>
      <c r="F99">
        <v>8</v>
      </c>
      <c r="G99" s="3">
        <v>46053.484652777777</v>
      </c>
      <c r="H99" t="s">
        <v>58</v>
      </c>
      <c r="I99" t="s">
        <v>35</v>
      </c>
      <c r="J99" t="s">
        <v>4</v>
      </c>
      <c r="K99" t="s">
        <v>55</v>
      </c>
      <c r="L99" t="s">
        <v>38</v>
      </c>
      <c r="M99">
        <v>629</v>
      </c>
      <c r="N99" s="7">
        <v>4382</v>
      </c>
      <c r="O99" s="7" t="str">
        <f>IF(OR(survey_data[[#This Row],[Full Resolution Time]]&gt;$AK$4, survey_data[[#This Row],[Full Resolution Time]] &lt; survey_data[[#This Row],[Lower Bound]]), "Outlier", "Normal")</f>
        <v>Normal</v>
      </c>
      <c r="P99" s="7">
        <f>_xlfn.QUARTILE.INC(survey_data[Full Resolution Time], 1)</f>
        <v>70.5</v>
      </c>
      <c r="Q99">
        <v>7</v>
      </c>
      <c r="R99">
        <v>8</v>
      </c>
      <c r="S99">
        <v>8</v>
      </c>
      <c r="T99">
        <v>8</v>
      </c>
      <c r="U99">
        <v>7</v>
      </c>
      <c r="V99">
        <v>8</v>
      </c>
      <c r="W99">
        <v>8</v>
      </c>
      <c r="X99">
        <v>8</v>
      </c>
      <c r="Y99">
        <v>6</v>
      </c>
      <c r="Z99" t="s">
        <v>49</v>
      </c>
      <c r="AA99" t="s">
        <v>201</v>
      </c>
      <c r="AB99" t="s">
        <v>109</v>
      </c>
      <c r="AC99" s="3" t="str">
        <f t="shared" si="6"/>
        <v>20-Nov-2023</v>
      </c>
      <c r="AD99" t="s">
        <v>52</v>
      </c>
      <c r="AE99" t="s">
        <v>219</v>
      </c>
      <c r="AF99" t="s">
        <v>44</v>
      </c>
      <c r="AG99" t="s">
        <v>45</v>
      </c>
      <c r="AH99" t="s">
        <v>53</v>
      </c>
    </row>
    <row r="100" spans="1:34" x14ac:dyDescent="0.35">
      <c r="A100">
        <v>20129820</v>
      </c>
      <c r="B100" s="3">
        <v>46049.375385891202</v>
      </c>
      <c r="C100" s="3">
        <v>46054.207997685182</v>
      </c>
      <c r="D100" s="3" t="str">
        <f t="shared" si="7"/>
        <v>Promoter</v>
      </c>
      <c r="E100" s="7">
        <f t="shared" si="5"/>
        <v>100</v>
      </c>
      <c r="F100">
        <v>10</v>
      </c>
      <c r="G100" s="3">
        <v>46049.498865740738</v>
      </c>
      <c r="H100" t="s">
        <v>58</v>
      </c>
      <c r="I100" t="s">
        <v>35</v>
      </c>
      <c r="J100" t="s">
        <v>4</v>
      </c>
      <c r="K100" t="s">
        <v>69</v>
      </c>
      <c r="L100" t="s">
        <v>38</v>
      </c>
      <c r="M100">
        <v>421</v>
      </c>
      <c r="N100" s="7">
        <v>8697</v>
      </c>
      <c r="O100" s="7" t="str">
        <f>IF(OR(survey_data[[#This Row],[Full Resolution Time]]&gt;$AK$4, survey_data[[#This Row],[Full Resolution Time]] &lt; survey_data[[#This Row],[Lower Bound]]), "Outlier", "Normal")</f>
        <v>Normal</v>
      </c>
      <c r="P100" s="7">
        <f>_xlfn.QUARTILE.INC(survey_data[Full Resolution Time], 1)</f>
        <v>70.5</v>
      </c>
      <c r="Q100">
        <v>10</v>
      </c>
      <c r="R100">
        <v>10</v>
      </c>
      <c r="S100">
        <v>10</v>
      </c>
      <c r="T100">
        <v>10</v>
      </c>
      <c r="U100">
        <v>10</v>
      </c>
      <c r="V100">
        <v>10</v>
      </c>
      <c r="W100">
        <v>10</v>
      </c>
      <c r="X100">
        <v>10</v>
      </c>
      <c r="Y100">
        <v>10</v>
      </c>
      <c r="Z100" t="s">
        <v>49</v>
      </c>
      <c r="AA100" t="s">
        <v>155</v>
      </c>
      <c r="AB100" t="s">
        <v>156</v>
      </c>
      <c r="AC100" s="3" t="str">
        <f t="shared" si="6"/>
        <v>30-Aug-2024</v>
      </c>
      <c r="AD100" t="s">
        <v>52</v>
      </c>
      <c r="AE100" t="s">
        <v>219</v>
      </c>
      <c r="AF100" t="s">
        <v>44</v>
      </c>
      <c r="AG100" t="s">
        <v>45</v>
      </c>
      <c r="AH100" t="s">
        <v>65</v>
      </c>
    </row>
    <row r="101" spans="1:34" x14ac:dyDescent="0.35">
      <c r="A101">
        <v>20152198</v>
      </c>
      <c r="B101" s="3">
        <v>46053.375491180559</v>
      </c>
      <c r="C101" s="3">
        <v>46054.158032407409</v>
      </c>
      <c r="D101" s="3" t="str">
        <f t="shared" si="7"/>
        <v>Detractor</v>
      </c>
      <c r="E101" s="7">
        <f t="shared" si="5"/>
        <v>-100</v>
      </c>
      <c r="F101">
        <v>0</v>
      </c>
      <c r="G101" s="3">
        <v>46052.917199074072</v>
      </c>
      <c r="H101" t="s">
        <v>58</v>
      </c>
      <c r="I101" t="s">
        <v>35</v>
      </c>
      <c r="J101" t="s">
        <v>4</v>
      </c>
      <c r="K101" t="s">
        <v>119</v>
      </c>
      <c r="L101" t="s">
        <v>38</v>
      </c>
      <c r="M101">
        <v>106</v>
      </c>
      <c r="N101" s="7">
        <v>13591</v>
      </c>
      <c r="O101" s="7" t="str">
        <f>IF(OR(survey_data[[#This Row],[Full Resolution Time]]&gt;$AK$4, survey_data[[#This Row],[Full Resolution Time]] &lt; survey_data[[#This Row],[Lower Bound]]), "Outlier", "Normal")</f>
        <v>Normal</v>
      </c>
      <c r="P101" s="7">
        <f>_xlfn.QUARTILE.INC(survey_data[Full Resolution Time], 1)</f>
        <v>70.5</v>
      </c>
      <c r="Q101">
        <v>0</v>
      </c>
      <c r="R101">
        <v>0</v>
      </c>
      <c r="S101">
        <v>0</v>
      </c>
      <c r="T101">
        <v>0</v>
      </c>
      <c r="U101">
        <v>0</v>
      </c>
      <c r="V101">
        <v>0</v>
      </c>
      <c r="W101">
        <v>0</v>
      </c>
      <c r="X101">
        <v>0</v>
      </c>
      <c r="Y101">
        <v>0</v>
      </c>
      <c r="Z101" t="s">
        <v>100</v>
      </c>
      <c r="AA101" t="s">
        <v>93</v>
      </c>
      <c r="AB101" t="s">
        <v>94</v>
      </c>
      <c r="AC101" s="3" t="str">
        <f t="shared" si="6"/>
        <v>02-Aug-2021</v>
      </c>
      <c r="AD101" t="s">
        <v>52</v>
      </c>
      <c r="AE101" t="s">
        <v>220</v>
      </c>
      <c r="AF101" t="s">
        <v>85</v>
      </c>
      <c r="AG101" t="s">
        <v>45</v>
      </c>
      <c r="AH101" t="s">
        <v>86</v>
      </c>
    </row>
    <row r="102" spans="1:34" x14ac:dyDescent="0.35">
      <c r="A102">
        <v>20151354</v>
      </c>
      <c r="B102" s="3">
        <v>46053.122698969906</v>
      </c>
      <c r="C102" s="3">
        <v>46054.052743055552</v>
      </c>
      <c r="D102" s="3" t="str">
        <f t="shared" si="7"/>
        <v>Passive</v>
      </c>
      <c r="E102" s="7">
        <f t="shared" si="5"/>
        <v>0</v>
      </c>
      <c r="F102">
        <v>8</v>
      </c>
      <c r="G102" s="3">
        <v>46053.455381944441</v>
      </c>
      <c r="H102" t="s">
        <v>34</v>
      </c>
      <c r="I102" t="s">
        <v>35</v>
      </c>
      <c r="J102" t="s">
        <v>95</v>
      </c>
      <c r="K102" t="s">
        <v>202</v>
      </c>
      <c r="L102" t="s">
        <v>38</v>
      </c>
      <c r="M102">
        <v>72</v>
      </c>
      <c r="N102" s="7">
        <v>261</v>
      </c>
      <c r="O102" s="7" t="str">
        <f>IF(OR(survey_data[[#This Row],[Full Resolution Time]]&gt;$AK$4, survey_data[[#This Row],[Full Resolution Time]] &lt; survey_data[[#This Row],[Lower Bound]]), "Outlier", "Normal")</f>
        <v>Normal</v>
      </c>
      <c r="P102" s="7">
        <f>_xlfn.QUARTILE.INC(survey_data[Full Resolution Time], 1)</f>
        <v>70.5</v>
      </c>
      <c r="Q102">
        <v>10</v>
      </c>
      <c r="R102">
        <v>10</v>
      </c>
      <c r="S102">
        <v>10</v>
      </c>
      <c r="T102" t="s">
        <v>39</v>
      </c>
      <c r="U102">
        <v>10</v>
      </c>
      <c r="V102">
        <v>10</v>
      </c>
      <c r="W102">
        <v>10</v>
      </c>
      <c r="X102">
        <v>10</v>
      </c>
      <c r="Y102">
        <v>10</v>
      </c>
      <c r="Z102" t="s">
        <v>49</v>
      </c>
      <c r="AA102" t="s">
        <v>184</v>
      </c>
      <c r="AB102" t="s">
        <v>130</v>
      </c>
      <c r="AC102" s="3" t="str">
        <f t="shared" si="6"/>
        <v>13-Jun-2023</v>
      </c>
      <c r="AD102" t="s">
        <v>52</v>
      </c>
      <c r="AE102" t="s">
        <v>220</v>
      </c>
      <c r="AF102" t="s">
        <v>44</v>
      </c>
      <c r="AG102" t="s">
        <v>45</v>
      </c>
      <c r="AH102" t="s">
        <v>53</v>
      </c>
    </row>
    <row r="103" spans="1:34" x14ac:dyDescent="0.35">
      <c r="A103">
        <v>20156147</v>
      </c>
      <c r="B103" s="3">
        <v>46054.028922962963</v>
      </c>
      <c r="C103" s="3">
        <v>46054.031053240738</v>
      </c>
      <c r="D103" s="3" t="str">
        <f t="shared" si="7"/>
        <v>Promoter</v>
      </c>
      <c r="E103" s="7">
        <f t="shared" si="5"/>
        <v>100</v>
      </c>
      <c r="F103">
        <v>10</v>
      </c>
      <c r="G103" s="3">
        <v>46054.361481481479</v>
      </c>
      <c r="H103" t="s">
        <v>34</v>
      </c>
      <c r="I103" t="s">
        <v>35</v>
      </c>
      <c r="J103" t="s">
        <v>95</v>
      </c>
      <c r="K103" t="s">
        <v>37</v>
      </c>
      <c r="L103" t="s">
        <v>38</v>
      </c>
      <c r="M103">
        <v>15</v>
      </c>
      <c r="N103" s="7">
        <v>15</v>
      </c>
      <c r="O103" s="7" t="str">
        <f>IF(OR(survey_data[[#This Row],[Full Resolution Time]]&gt;$AK$4, survey_data[[#This Row],[Full Resolution Time]] &lt; survey_data[[#This Row],[Lower Bound]]), "Outlier", "Normal")</f>
        <v>Outlier</v>
      </c>
      <c r="P103" s="7">
        <f>_xlfn.QUARTILE.INC(survey_data[Full Resolution Time], 1)</f>
        <v>70.5</v>
      </c>
      <c r="Q103">
        <v>10</v>
      </c>
      <c r="R103">
        <v>10</v>
      </c>
      <c r="S103">
        <v>10</v>
      </c>
      <c r="T103">
        <v>10</v>
      </c>
      <c r="U103">
        <v>10</v>
      </c>
      <c r="V103">
        <v>10</v>
      </c>
      <c r="W103">
        <v>10</v>
      </c>
      <c r="X103">
        <v>10</v>
      </c>
      <c r="Y103">
        <v>10</v>
      </c>
      <c r="Z103" t="s">
        <v>49</v>
      </c>
      <c r="AA103" t="s">
        <v>203</v>
      </c>
      <c r="AB103" t="s">
        <v>204</v>
      </c>
      <c r="AC103" s="3" t="str">
        <f t="shared" si="6"/>
        <v>31-Mar-2024</v>
      </c>
      <c r="AD103" t="s">
        <v>52</v>
      </c>
      <c r="AE103" t="s">
        <v>220</v>
      </c>
      <c r="AF103" t="s">
        <v>44</v>
      </c>
      <c r="AG103" t="s">
        <v>45</v>
      </c>
      <c r="AH103" t="s">
        <v>61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06F8A-921C-436C-A6D3-05F50583725F}">
  <dimension ref="A1:F74"/>
  <sheetViews>
    <sheetView workbookViewId="0">
      <selection activeCell="D1" activeCellId="1" sqref="A1:A1048576 D1:D1048576"/>
    </sheetView>
  </sheetViews>
  <sheetFormatPr defaultRowHeight="14.5" x14ac:dyDescent="0.35"/>
  <cols>
    <col min="1" max="1" width="25.7265625" bestFit="1" customWidth="1"/>
    <col min="2" max="2" width="20.54296875" bestFit="1" customWidth="1"/>
    <col min="3" max="3" width="15.81640625" bestFit="1" customWidth="1"/>
    <col min="4" max="4" width="12.453125" bestFit="1" customWidth="1"/>
  </cols>
  <sheetData>
    <row r="1" spans="1:6" x14ac:dyDescent="0.35">
      <c r="A1" s="1" t="s">
        <v>2</v>
      </c>
      <c r="B1" t="s">
        <v>12</v>
      </c>
      <c r="C1" t="s">
        <v>217</v>
      </c>
      <c r="D1" t="s">
        <v>227</v>
      </c>
    </row>
    <row r="2" spans="1:6" x14ac:dyDescent="0.35">
      <c r="A2">
        <v>2</v>
      </c>
      <c r="B2">
        <v>12935</v>
      </c>
      <c r="C2" t="s">
        <v>226</v>
      </c>
      <c r="D2">
        <f>STANDARDIZE(B2,AVERAGE($B$2:$B$74),_xlfn.STDEV.P($B$2:$B$74))</f>
        <v>0.66541975307387402</v>
      </c>
      <c r="F2">
        <f>CORREL(A2:A74, B2:B74)</f>
        <v>-0.16774605225532296</v>
      </c>
    </row>
    <row r="3" spans="1:6" x14ac:dyDescent="0.35">
      <c r="A3">
        <v>10</v>
      </c>
      <c r="B3">
        <v>12042</v>
      </c>
      <c r="C3" t="s">
        <v>226</v>
      </c>
      <c r="D3">
        <f t="shared" ref="D3:D66" si="0">STANDARDIZE(B3,AVERAGE($B$2:$B$74),_xlfn.STDEV.P($B$2:$B$74))</f>
        <v>0.55066240440236569</v>
      </c>
    </row>
    <row r="4" spans="1:6" x14ac:dyDescent="0.35">
      <c r="A4">
        <v>10</v>
      </c>
      <c r="B4">
        <v>1896</v>
      </c>
      <c r="C4" t="s">
        <v>226</v>
      </c>
      <c r="D4">
        <f t="shared" si="0"/>
        <v>-0.75317640816328102</v>
      </c>
    </row>
    <row r="5" spans="1:6" x14ac:dyDescent="0.35">
      <c r="A5">
        <v>10</v>
      </c>
      <c r="B5">
        <v>736</v>
      </c>
      <c r="C5" t="s">
        <v>226</v>
      </c>
      <c r="D5">
        <f t="shared" si="0"/>
        <v>-0.90224530453388518</v>
      </c>
    </row>
    <row r="6" spans="1:6" x14ac:dyDescent="0.35">
      <c r="A6">
        <v>9</v>
      </c>
      <c r="B6">
        <v>7112</v>
      </c>
      <c r="C6" t="s">
        <v>226</v>
      </c>
      <c r="D6">
        <f t="shared" si="0"/>
        <v>-8.2880405172702121E-2</v>
      </c>
    </row>
    <row r="7" spans="1:6" x14ac:dyDescent="0.35">
      <c r="A7">
        <v>10</v>
      </c>
      <c r="B7">
        <v>9970</v>
      </c>
      <c r="C7" t="s">
        <v>226</v>
      </c>
      <c r="D7">
        <f t="shared" si="0"/>
        <v>0.28439451364383822</v>
      </c>
    </row>
    <row r="8" spans="1:6" x14ac:dyDescent="0.35">
      <c r="A8">
        <v>10</v>
      </c>
      <c r="B8">
        <v>23336</v>
      </c>
      <c r="C8" t="s">
        <v>226</v>
      </c>
      <c r="D8">
        <f t="shared" si="0"/>
        <v>2.0020280213071966</v>
      </c>
    </row>
    <row r="9" spans="1:6" x14ac:dyDescent="0.35">
      <c r="A9">
        <v>10</v>
      </c>
      <c r="B9">
        <v>1490</v>
      </c>
      <c r="C9" t="s">
        <v>226</v>
      </c>
      <c r="D9">
        <f t="shared" si="0"/>
        <v>-0.8053505218929925</v>
      </c>
    </row>
    <row r="10" spans="1:6" x14ac:dyDescent="0.35">
      <c r="A10">
        <v>6</v>
      </c>
      <c r="B10">
        <v>7359</v>
      </c>
      <c r="C10" t="s">
        <v>226</v>
      </c>
      <c r="D10">
        <f t="shared" si="0"/>
        <v>-5.1139010859306222E-2</v>
      </c>
    </row>
    <row r="11" spans="1:6" x14ac:dyDescent="0.35">
      <c r="A11">
        <v>10</v>
      </c>
      <c r="B11">
        <v>24271</v>
      </c>
      <c r="C11" t="s">
        <v>226</v>
      </c>
      <c r="D11">
        <f t="shared" si="0"/>
        <v>2.1221826920886748</v>
      </c>
    </row>
    <row r="12" spans="1:6" x14ac:dyDescent="0.35">
      <c r="A12">
        <v>10</v>
      </c>
      <c r="B12">
        <v>7784</v>
      </c>
      <c r="C12" t="s">
        <v>226</v>
      </c>
      <c r="D12">
        <f t="shared" si="0"/>
        <v>3.476748586820318E-3</v>
      </c>
    </row>
    <row r="13" spans="1:6" x14ac:dyDescent="0.35">
      <c r="A13">
        <v>10</v>
      </c>
      <c r="B13">
        <v>24625</v>
      </c>
      <c r="C13" t="s">
        <v>226</v>
      </c>
      <c r="D13">
        <f t="shared" si="0"/>
        <v>2.167674407015566</v>
      </c>
    </row>
    <row r="14" spans="1:6" x14ac:dyDescent="0.35">
      <c r="A14">
        <v>5</v>
      </c>
      <c r="B14">
        <v>77</v>
      </c>
      <c r="C14" t="s">
        <v>226</v>
      </c>
      <c r="D14">
        <f t="shared" si="0"/>
        <v>-0.9869318585927026</v>
      </c>
    </row>
    <row r="15" spans="1:6" x14ac:dyDescent="0.35">
      <c r="A15">
        <v>9</v>
      </c>
      <c r="B15">
        <v>95</v>
      </c>
      <c r="C15" t="s">
        <v>226</v>
      </c>
      <c r="D15">
        <f t="shared" si="0"/>
        <v>-0.98461872054557253</v>
      </c>
    </row>
    <row r="16" spans="1:6" x14ac:dyDescent="0.35">
      <c r="A16">
        <v>10</v>
      </c>
      <c r="B16">
        <v>182</v>
      </c>
      <c r="C16" t="s">
        <v>226</v>
      </c>
      <c r="D16">
        <f t="shared" si="0"/>
        <v>-0.97343855331777718</v>
      </c>
    </row>
    <row r="17" spans="1:4" x14ac:dyDescent="0.35">
      <c r="A17">
        <v>10</v>
      </c>
      <c r="B17">
        <v>1005</v>
      </c>
      <c r="C17" t="s">
        <v>226</v>
      </c>
      <c r="D17">
        <f t="shared" si="0"/>
        <v>-0.86767674149621921</v>
      </c>
    </row>
    <row r="18" spans="1:4" x14ac:dyDescent="0.35">
      <c r="A18">
        <v>0</v>
      </c>
      <c r="B18">
        <v>9006</v>
      </c>
      <c r="C18" t="s">
        <v>226</v>
      </c>
      <c r="D18">
        <f t="shared" si="0"/>
        <v>0.16051312045309474</v>
      </c>
    </row>
    <row r="19" spans="1:4" x14ac:dyDescent="0.35">
      <c r="A19">
        <v>10</v>
      </c>
      <c r="B19">
        <v>13271</v>
      </c>
      <c r="C19" t="s">
        <v>226</v>
      </c>
      <c r="D19">
        <f t="shared" si="0"/>
        <v>0.70859832995363514</v>
      </c>
    </row>
    <row r="20" spans="1:4" x14ac:dyDescent="0.35">
      <c r="A20">
        <v>5</v>
      </c>
      <c r="B20">
        <v>17793</v>
      </c>
      <c r="C20" t="s">
        <v>226</v>
      </c>
      <c r="D20">
        <f t="shared" si="0"/>
        <v>1.2897100104604216</v>
      </c>
    </row>
    <row r="21" spans="1:4" x14ac:dyDescent="0.35">
      <c r="A21">
        <v>10</v>
      </c>
      <c r="B21">
        <v>5312</v>
      </c>
      <c r="C21" t="s">
        <v>226</v>
      </c>
      <c r="D21">
        <f t="shared" si="0"/>
        <v>-0.31419420988570862</v>
      </c>
    </row>
    <row r="22" spans="1:4" x14ac:dyDescent="0.35">
      <c r="A22">
        <v>8</v>
      </c>
      <c r="B22">
        <v>155</v>
      </c>
      <c r="C22" t="s">
        <v>226</v>
      </c>
      <c r="D22">
        <f t="shared" si="0"/>
        <v>-0.97690826038847234</v>
      </c>
    </row>
    <row r="23" spans="1:4" x14ac:dyDescent="0.35">
      <c r="A23">
        <v>0</v>
      </c>
      <c r="B23">
        <v>292</v>
      </c>
      <c r="C23" t="s">
        <v>226</v>
      </c>
      <c r="D23">
        <f t="shared" si="0"/>
        <v>-0.95930270969642684</v>
      </c>
    </row>
    <row r="24" spans="1:4" x14ac:dyDescent="0.35">
      <c r="A24">
        <v>8</v>
      </c>
      <c r="B24">
        <v>8172</v>
      </c>
      <c r="C24" t="s">
        <v>226</v>
      </c>
      <c r="D24">
        <f t="shared" si="0"/>
        <v>5.3337724269401726E-2</v>
      </c>
    </row>
    <row r="25" spans="1:4" x14ac:dyDescent="0.35">
      <c r="A25">
        <v>10</v>
      </c>
      <c r="B25">
        <v>87</v>
      </c>
      <c r="C25" t="s">
        <v>226</v>
      </c>
      <c r="D25">
        <f t="shared" si="0"/>
        <v>-0.98564678189985255</v>
      </c>
    </row>
    <row r="26" spans="1:4" x14ac:dyDescent="0.35">
      <c r="A26">
        <v>0</v>
      </c>
      <c r="B26">
        <v>2791</v>
      </c>
      <c r="C26" t="s">
        <v>226</v>
      </c>
      <c r="D26">
        <f t="shared" si="0"/>
        <v>-0.63816204415320277</v>
      </c>
    </row>
    <row r="27" spans="1:4" x14ac:dyDescent="0.35">
      <c r="A27">
        <v>10</v>
      </c>
      <c r="B27">
        <v>84</v>
      </c>
      <c r="C27" t="s">
        <v>226</v>
      </c>
      <c r="D27">
        <f t="shared" si="0"/>
        <v>-0.98603230490770755</v>
      </c>
    </row>
    <row r="28" spans="1:4" x14ac:dyDescent="0.35">
      <c r="A28">
        <v>10</v>
      </c>
      <c r="B28">
        <v>10120</v>
      </c>
      <c r="C28" t="s">
        <v>226</v>
      </c>
      <c r="D28">
        <f t="shared" si="0"/>
        <v>0.30367066403658877</v>
      </c>
    </row>
    <row r="29" spans="1:4" x14ac:dyDescent="0.35">
      <c r="A29">
        <v>10</v>
      </c>
      <c r="B29">
        <v>8778</v>
      </c>
      <c r="C29" t="s">
        <v>226</v>
      </c>
      <c r="D29">
        <f t="shared" si="0"/>
        <v>0.13121337185611393</v>
      </c>
    </row>
    <row r="30" spans="1:4" x14ac:dyDescent="0.35">
      <c r="A30">
        <v>7</v>
      </c>
      <c r="B30">
        <v>109</v>
      </c>
      <c r="C30" t="s">
        <v>226</v>
      </c>
      <c r="D30">
        <f t="shared" si="0"/>
        <v>-0.98281961317558253</v>
      </c>
    </row>
    <row r="31" spans="1:4" x14ac:dyDescent="0.35">
      <c r="A31">
        <v>5</v>
      </c>
      <c r="B31">
        <v>13309</v>
      </c>
      <c r="C31" t="s">
        <v>226</v>
      </c>
      <c r="D31">
        <f t="shared" si="0"/>
        <v>0.71348162138646531</v>
      </c>
    </row>
    <row r="32" spans="1:4" x14ac:dyDescent="0.35">
      <c r="A32">
        <v>10</v>
      </c>
      <c r="B32">
        <v>7495</v>
      </c>
      <c r="C32" t="s">
        <v>226</v>
      </c>
      <c r="D32">
        <f t="shared" si="0"/>
        <v>-3.3661967836545729E-2</v>
      </c>
    </row>
    <row r="33" spans="1:4" x14ac:dyDescent="0.35">
      <c r="A33">
        <v>10</v>
      </c>
      <c r="B33">
        <v>581</v>
      </c>
      <c r="C33" t="s">
        <v>226</v>
      </c>
      <c r="D33">
        <f t="shared" si="0"/>
        <v>-0.92216399327306076</v>
      </c>
    </row>
    <row r="34" spans="1:4" x14ac:dyDescent="0.35">
      <c r="A34">
        <v>6</v>
      </c>
      <c r="B34">
        <v>27576</v>
      </c>
      <c r="C34" t="s">
        <v>226</v>
      </c>
      <c r="D34">
        <f t="shared" si="0"/>
        <v>2.5469005390756121</v>
      </c>
    </row>
    <row r="35" spans="1:4" x14ac:dyDescent="0.35">
      <c r="A35">
        <v>10</v>
      </c>
      <c r="B35">
        <v>1861</v>
      </c>
      <c r="C35" t="s">
        <v>226</v>
      </c>
      <c r="D35">
        <f t="shared" si="0"/>
        <v>-0.75767417658825609</v>
      </c>
    </row>
    <row r="36" spans="1:4" x14ac:dyDescent="0.35">
      <c r="A36">
        <v>9</v>
      </c>
      <c r="B36">
        <v>3091</v>
      </c>
      <c r="C36" t="s">
        <v>226</v>
      </c>
      <c r="D36">
        <f t="shared" si="0"/>
        <v>-0.59960974336770168</v>
      </c>
    </row>
    <row r="37" spans="1:4" x14ac:dyDescent="0.35">
      <c r="A37">
        <v>7</v>
      </c>
      <c r="B37">
        <v>95</v>
      </c>
      <c r="C37" t="s">
        <v>226</v>
      </c>
      <c r="D37">
        <f t="shared" si="0"/>
        <v>-0.98461872054557253</v>
      </c>
    </row>
    <row r="38" spans="1:4" x14ac:dyDescent="0.35">
      <c r="A38">
        <v>10</v>
      </c>
      <c r="B38">
        <v>121</v>
      </c>
      <c r="C38" t="s">
        <v>226</v>
      </c>
      <c r="D38">
        <f t="shared" si="0"/>
        <v>-0.98127752114416245</v>
      </c>
    </row>
    <row r="39" spans="1:4" x14ac:dyDescent="0.35">
      <c r="A39">
        <v>0</v>
      </c>
      <c r="B39">
        <v>573</v>
      </c>
      <c r="C39" t="s">
        <v>226</v>
      </c>
      <c r="D39">
        <f t="shared" si="0"/>
        <v>-0.92319205462734077</v>
      </c>
    </row>
    <row r="40" spans="1:4" x14ac:dyDescent="0.35">
      <c r="A40">
        <v>10</v>
      </c>
      <c r="B40">
        <v>19160</v>
      </c>
      <c r="C40" t="s">
        <v>226</v>
      </c>
      <c r="D40">
        <f t="shared" si="0"/>
        <v>1.4653799943730215</v>
      </c>
    </row>
    <row r="41" spans="1:4" x14ac:dyDescent="0.35">
      <c r="A41">
        <v>3</v>
      </c>
      <c r="B41">
        <v>9473</v>
      </c>
      <c r="C41" t="s">
        <v>226</v>
      </c>
      <c r="D41">
        <f t="shared" si="0"/>
        <v>0.22052620200919143</v>
      </c>
    </row>
    <row r="42" spans="1:4" x14ac:dyDescent="0.35">
      <c r="A42">
        <v>0</v>
      </c>
      <c r="B42">
        <v>13275</v>
      </c>
      <c r="C42" t="s">
        <v>226</v>
      </c>
      <c r="D42">
        <f t="shared" si="0"/>
        <v>0.70911236063077521</v>
      </c>
    </row>
    <row r="43" spans="1:4" x14ac:dyDescent="0.35">
      <c r="A43">
        <v>10</v>
      </c>
      <c r="B43">
        <v>8654</v>
      </c>
      <c r="C43" t="s">
        <v>226</v>
      </c>
      <c r="D43">
        <f t="shared" si="0"/>
        <v>0.11527842086477347</v>
      </c>
    </row>
    <row r="44" spans="1:4" x14ac:dyDescent="0.35">
      <c r="A44">
        <v>0</v>
      </c>
      <c r="B44">
        <v>1183</v>
      </c>
      <c r="C44" t="s">
        <v>226</v>
      </c>
      <c r="D44">
        <f t="shared" si="0"/>
        <v>-0.84480237636348865</v>
      </c>
    </row>
    <row r="45" spans="1:4" x14ac:dyDescent="0.35">
      <c r="A45">
        <v>10</v>
      </c>
      <c r="B45">
        <v>333</v>
      </c>
      <c r="C45" t="s">
        <v>226</v>
      </c>
      <c r="D45">
        <f t="shared" si="0"/>
        <v>-0.95403389525574167</v>
      </c>
    </row>
    <row r="46" spans="1:4" x14ac:dyDescent="0.35">
      <c r="A46">
        <v>0</v>
      </c>
      <c r="B46">
        <v>13109</v>
      </c>
      <c r="C46" t="s">
        <v>226</v>
      </c>
      <c r="D46">
        <f t="shared" si="0"/>
        <v>0.68778008752946462</v>
      </c>
    </row>
    <row r="47" spans="1:4" x14ac:dyDescent="0.35">
      <c r="A47">
        <v>8</v>
      </c>
      <c r="B47">
        <v>93</v>
      </c>
      <c r="C47" t="s">
        <v>226</v>
      </c>
      <c r="D47">
        <f t="shared" si="0"/>
        <v>-0.98487573588414257</v>
      </c>
    </row>
    <row r="48" spans="1:4" x14ac:dyDescent="0.35">
      <c r="A48">
        <v>0</v>
      </c>
      <c r="B48">
        <v>13110</v>
      </c>
      <c r="C48" t="s">
        <v>226</v>
      </c>
      <c r="D48">
        <f t="shared" si="0"/>
        <v>0.68790859519874958</v>
      </c>
    </row>
    <row r="49" spans="1:4" x14ac:dyDescent="0.35">
      <c r="A49">
        <v>10</v>
      </c>
      <c r="B49">
        <v>1676</v>
      </c>
      <c r="C49" t="s">
        <v>226</v>
      </c>
      <c r="D49">
        <f t="shared" si="0"/>
        <v>-0.78144809540598181</v>
      </c>
    </row>
    <row r="50" spans="1:4" x14ac:dyDescent="0.35">
      <c r="A50">
        <v>10</v>
      </c>
      <c r="B50">
        <v>2264</v>
      </c>
      <c r="C50" t="s">
        <v>226</v>
      </c>
      <c r="D50">
        <f t="shared" si="0"/>
        <v>-0.70588558586639971</v>
      </c>
    </row>
    <row r="51" spans="1:4" x14ac:dyDescent="0.35">
      <c r="A51">
        <v>10</v>
      </c>
      <c r="B51">
        <v>15541</v>
      </c>
      <c r="C51" t="s">
        <v>226</v>
      </c>
      <c r="D51">
        <f t="shared" si="0"/>
        <v>1.0003107392305934</v>
      </c>
    </row>
    <row r="52" spans="1:4" x14ac:dyDescent="0.35">
      <c r="A52">
        <v>3</v>
      </c>
      <c r="B52">
        <v>17886</v>
      </c>
      <c r="C52" t="s">
        <v>226</v>
      </c>
      <c r="D52">
        <f t="shared" si="0"/>
        <v>1.3016612237039269</v>
      </c>
    </row>
    <row r="53" spans="1:4" x14ac:dyDescent="0.35">
      <c r="A53">
        <v>10</v>
      </c>
      <c r="B53">
        <v>75</v>
      </c>
      <c r="C53" t="s">
        <v>226</v>
      </c>
      <c r="D53">
        <f t="shared" si="0"/>
        <v>-0.98718887393127264</v>
      </c>
    </row>
    <row r="54" spans="1:4" x14ac:dyDescent="0.35">
      <c r="A54">
        <v>0</v>
      </c>
      <c r="B54">
        <v>14108</v>
      </c>
      <c r="C54" t="s">
        <v>226</v>
      </c>
      <c r="D54">
        <f t="shared" si="0"/>
        <v>0.81615924914518323</v>
      </c>
    </row>
    <row r="55" spans="1:4" x14ac:dyDescent="0.35">
      <c r="A55">
        <v>1</v>
      </c>
      <c r="B55">
        <v>14743</v>
      </c>
      <c r="C55" t="s">
        <v>226</v>
      </c>
      <c r="D55">
        <f t="shared" si="0"/>
        <v>0.89776161914116048</v>
      </c>
    </row>
    <row r="56" spans="1:4" x14ac:dyDescent="0.35">
      <c r="A56">
        <v>10</v>
      </c>
      <c r="B56">
        <v>75</v>
      </c>
      <c r="C56" t="s">
        <v>226</v>
      </c>
      <c r="D56">
        <f t="shared" si="0"/>
        <v>-0.98718887393127264</v>
      </c>
    </row>
    <row r="57" spans="1:4" x14ac:dyDescent="0.35">
      <c r="A57">
        <v>3</v>
      </c>
      <c r="B57">
        <v>13804</v>
      </c>
      <c r="C57" t="s">
        <v>226</v>
      </c>
      <c r="D57">
        <f t="shared" si="0"/>
        <v>0.77709291768254207</v>
      </c>
    </row>
    <row r="58" spans="1:4" x14ac:dyDescent="0.35">
      <c r="A58">
        <v>10</v>
      </c>
      <c r="B58">
        <v>1419</v>
      </c>
      <c r="C58" t="s">
        <v>226</v>
      </c>
      <c r="D58">
        <f t="shared" si="0"/>
        <v>-0.81447456641222771</v>
      </c>
    </row>
    <row r="59" spans="1:4" x14ac:dyDescent="0.35">
      <c r="A59">
        <v>10</v>
      </c>
      <c r="B59">
        <v>6434</v>
      </c>
      <c r="C59" t="s">
        <v>226</v>
      </c>
      <c r="D59">
        <f t="shared" si="0"/>
        <v>-0.17000860494793457</v>
      </c>
    </row>
    <row r="60" spans="1:4" x14ac:dyDescent="0.35">
      <c r="A60">
        <v>9</v>
      </c>
      <c r="B60">
        <v>28756</v>
      </c>
      <c r="C60" t="s">
        <v>226</v>
      </c>
      <c r="D60">
        <f t="shared" si="0"/>
        <v>2.6985395888319164</v>
      </c>
    </row>
    <row r="61" spans="1:4" x14ac:dyDescent="0.35">
      <c r="A61">
        <v>8</v>
      </c>
      <c r="B61">
        <v>13416</v>
      </c>
      <c r="C61" t="s">
        <v>226</v>
      </c>
      <c r="D61">
        <f t="shared" si="0"/>
        <v>0.72723194199996077</v>
      </c>
    </row>
    <row r="62" spans="1:4" x14ac:dyDescent="0.35">
      <c r="A62">
        <v>10</v>
      </c>
      <c r="B62">
        <v>19597</v>
      </c>
      <c r="C62" t="s">
        <v>226</v>
      </c>
      <c r="D62">
        <f t="shared" si="0"/>
        <v>1.5215378458505679</v>
      </c>
    </row>
    <row r="63" spans="1:4" x14ac:dyDescent="0.35">
      <c r="A63">
        <v>10</v>
      </c>
      <c r="B63">
        <v>1455</v>
      </c>
      <c r="C63" t="s">
        <v>226</v>
      </c>
      <c r="D63">
        <f t="shared" si="0"/>
        <v>-0.80984829031796757</v>
      </c>
    </row>
    <row r="64" spans="1:4" x14ac:dyDescent="0.35">
      <c r="A64">
        <v>10</v>
      </c>
      <c r="B64">
        <v>359</v>
      </c>
      <c r="C64" t="s">
        <v>226</v>
      </c>
      <c r="D64">
        <f t="shared" si="0"/>
        <v>-0.95069269585433158</v>
      </c>
    </row>
    <row r="65" spans="1:4" x14ac:dyDescent="0.35">
      <c r="A65">
        <v>9</v>
      </c>
      <c r="B65">
        <v>910</v>
      </c>
      <c r="C65" t="s">
        <v>226</v>
      </c>
      <c r="D65">
        <f t="shared" si="0"/>
        <v>-0.87988497007829458</v>
      </c>
    </row>
    <row r="66" spans="1:4" x14ac:dyDescent="0.35">
      <c r="A66">
        <v>1</v>
      </c>
      <c r="B66">
        <v>1190</v>
      </c>
      <c r="C66" t="s">
        <v>226</v>
      </c>
      <c r="D66">
        <f t="shared" si="0"/>
        <v>-0.84390282267849359</v>
      </c>
    </row>
    <row r="67" spans="1:4" x14ac:dyDescent="0.35">
      <c r="A67">
        <v>9</v>
      </c>
      <c r="B67">
        <v>6172</v>
      </c>
      <c r="C67" t="s">
        <v>226</v>
      </c>
      <c r="D67">
        <f t="shared" ref="D67:D74" si="1">STANDARDIZE(B67,AVERAGE($B$2:$B$74),_xlfn.STDEV.P($B$2:$B$74))</f>
        <v>-0.20367761430060552</v>
      </c>
    </row>
    <row r="68" spans="1:4" x14ac:dyDescent="0.35">
      <c r="A68">
        <v>9</v>
      </c>
      <c r="B68">
        <v>15022</v>
      </c>
      <c r="C68" t="s">
        <v>226</v>
      </c>
      <c r="D68">
        <f t="shared" si="1"/>
        <v>0.93361525887167651</v>
      </c>
    </row>
    <row r="69" spans="1:4" x14ac:dyDescent="0.35">
      <c r="A69">
        <v>9</v>
      </c>
      <c r="B69">
        <v>126</v>
      </c>
      <c r="C69" t="s">
        <v>226</v>
      </c>
      <c r="D69">
        <f t="shared" si="1"/>
        <v>-0.98063498279773742</v>
      </c>
    </row>
    <row r="70" spans="1:4" x14ac:dyDescent="0.35">
      <c r="A70">
        <v>0</v>
      </c>
      <c r="B70">
        <v>20321</v>
      </c>
      <c r="C70" t="s">
        <v>226</v>
      </c>
      <c r="D70">
        <f t="shared" si="1"/>
        <v>1.6145773984129106</v>
      </c>
    </row>
    <row r="71" spans="1:4" x14ac:dyDescent="0.35">
      <c r="A71">
        <v>8</v>
      </c>
      <c r="B71">
        <v>4382</v>
      </c>
      <c r="C71" t="s">
        <v>226</v>
      </c>
      <c r="D71">
        <f t="shared" si="1"/>
        <v>-0.43370634232076199</v>
      </c>
    </row>
    <row r="72" spans="1:4" x14ac:dyDescent="0.35">
      <c r="A72">
        <v>10</v>
      </c>
      <c r="B72">
        <v>8697</v>
      </c>
      <c r="C72" t="s">
        <v>226</v>
      </c>
      <c r="D72">
        <f t="shared" si="1"/>
        <v>0.12080425064402862</v>
      </c>
    </row>
    <row r="73" spans="1:4" x14ac:dyDescent="0.35">
      <c r="A73">
        <v>0</v>
      </c>
      <c r="B73">
        <v>13591</v>
      </c>
      <c r="C73" t="s">
        <v>226</v>
      </c>
      <c r="D73">
        <f t="shared" si="1"/>
        <v>0.74972078412483634</v>
      </c>
    </row>
    <row r="74" spans="1:4" x14ac:dyDescent="0.35">
      <c r="A74">
        <v>8</v>
      </c>
      <c r="B74">
        <v>261</v>
      </c>
      <c r="C74" t="s">
        <v>226</v>
      </c>
      <c r="D74">
        <f t="shared" si="1"/>
        <v>-0.96328644744426195</v>
      </c>
    </row>
  </sheetData>
  <autoFilter ref="A1:D74" xr:uid="{62506F8A-921C-436C-A6D3-05F50583725F}"/>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99F8C-E465-4133-8F16-BA5549753289}">
  <dimension ref="A2:D74"/>
  <sheetViews>
    <sheetView topLeftCell="A43" workbookViewId="0">
      <selection activeCell="J74" sqref="J74"/>
    </sheetView>
  </sheetViews>
  <sheetFormatPr defaultRowHeight="14.5" x14ac:dyDescent="0.35"/>
  <cols>
    <col min="1" max="1" width="26.7265625" bestFit="1" customWidth="1"/>
    <col min="2" max="2" width="28.6328125" bestFit="1" customWidth="1"/>
    <col min="3" max="3" width="27.81640625" bestFit="1" customWidth="1"/>
    <col min="4" max="4" width="12.6328125" bestFit="1" customWidth="1"/>
  </cols>
  <sheetData>
    <row r="2" spans="1:4" x14ac:dyDescent="0.35">
      <c r="A2" s="8" t="s">
        <v>218</v>
      </c>
      <c r="B2" t="s">
        <v>225</v>
      </c>
      <c r="C2" t="s">
        <v>223</v>
      </c>
    </row>
    <row r="3" spans="1:4" x14ac:dyDescent="0.35">
      <c r="A3" t="s">
        <v>220</v>
      </c>
      <c r="B3" s="6">
        <v>39.583333333333336</v>
      </c>
      <c r="C3" s="7">
        <v>48</v>
      </c>
    </row>
    <row r="4" spans="1:4" x14ac:dyDescent="0.35">
      <c r="A4" t="s">
        <v>219</v>
      </c>
      <c r="B4" s="6">
        <v>38.888888888888886</v>
      </c>
      <c r="C4" s="7">
        <v>54</v>
      </c>
    </row>
    <row r="5" spans="1:4" x14ac:dyDescent="0.35">
      <c r="A5" t="s">
        <v>208</v>
      </c>
      <c r="B5" s="6">
        <v>39.215686274509807</v>
      </c>
      <c r="C5" s="7">
        <v>102</v>
      </c>
    </row>
    <row r="7" spans="1:4" x14ac:dyDescent="0.35">
      <c r="A7" s="8" t="s">
        <v>218</v>
      </c>
      <c r="B7" s="8" t="s">
        <v>8</v>
      </c>
      <c r="C7" t="s">
        <v>210</v>
      </c>
      <c r="D7" t="s">
        <v>212</v>
      </c>
    </row>
    <row r="8" spans="1:4" x14ac:dyDescent="0.35">
      <c r="A8" t="s">
        <v>220</v>
      </c>
      <c r="B8" t="s">
        <v>48</v>
      </c>
      <c r="C8" s="6">
        <v>19.047619047619047</v>
      </c>
      <c r="D8" s="9">
        <v>21</v>
      </c>
    </row>
    <row r="9" spans="1:4" x14ac:dyDescent="0.35">
      <c r="B9" t="s">
        <v>4</v>
      </c>
      <c r="C9" s="6">
        <v>15.384615384615385</v>
      </c>
      <c r="D9" s="9">
        <v>13</v>
      </c>
    </row>
    <row r="10" spans="1:4" x14ac:dyDescent="0.35">
      <c r="B10" t="s">
        <v>95</v>
      </c>
      <c r="C10" s="6">
        <v>92.857142857142861</v>
      </c>
      <c r="D10" s="9">
        <v>14</v>
      </c>
    </row>
    <row r="11" spans="1:4" x14ac:dyDescent="0.35">
      <c r="A11" t="s">
        <v>221</v>
      </c>
      <c r="C11" s="6">
        <v>39.583333333333336</v>
      </c>
      <c r="D11" s="9">
        <v>48</v>
      </c>
    </row>
    <row r="12" spans="1:4" x14ac:dyDescent="0.35">
      <c r="A12" t="s">
        <v>219</v>
      </c>
      <c r="B12" t="s">
        <v>48</v>
      </c>
      <c r="C12" s="6">
        <v>66.666666666666671</v>
      </c>
      <c r="D12" s="9">
        <v>15</v>
      </c>
    </row>
    <row r="13" spans="1:4" x14ac:dyDescent="0.35">
      <c r="B13" t="s">
        <v>4</v>
      </c>
      <c r="C13" s="6">
        <v>34.482758620689658</v>
      </c>
      <c r="D13" s="9">
        <v>29</v>
      </c>
    </row>
    <row r="14" spans="1:4" x14ac:dyDescent="0.35">
      <c r="B14" t="s">
        <v>36</v>
      </c>
      <c r="C14" s="6">
        <v>0</v>
      </c>
      <c r="D14" s="9">
        <v>2</v>
      </c>
    </row>
    <row r="15" spans="1:4" x14ac:dyDescent="0.35">
      <c r="B15" t="s">
        <v>95</v>
      </c>
      <c r="C15" s="6">
        <v>12.5</v>
      </c>
      <c r="D15" s="9">
        <v>8</v>
      </c>
    </row>
    <row r="16" spans="1:4" x14ac:dyDescent="0.35">
      <c r="A16" t="s">
        <v>222</v>
      </c>
      <c r="C16" s="6">
        <v>38.888888888888886</v>
      </c>
      <c r="D16" s="9">
        <v>54</v>
      </c>
    </row>
    <row r="17" spans="1:4" x14ac:dyDescent="0.35">
      <c r="A17" t="s">
        <v>208</v>
      </c>
      <c r="C17" s="6">
        <v>39.215686274509807</v>
      </c>
      <c r="D17" s="9">
        <v>102</v>
      </c>
    </row>
    <row r="20" spans="1:4" x14ac:dyDescent="0.35">
      <c r="A20" s="8" t="s">
        <v>218</v>
      </c>
      <c r="B20" s="8" t="s">
        <v>9</v>
      </c>
      <c r="C20" t="s">
        <v>225</v>
      </c>
      <c r="D20" t="s">
        <v>223</v>
      </c>
    </row>
    <row r="21" spans="1:4" x14ac:dyDescent="0.35">
      <c r="A21" t="s">
        <v>220</v>
      </c>
      <c r="B21" t="s">
        <v>120</v>
      </c>
      <c r="C21" s="6">
        <v>100</v>
      </c>
      <c r="D21" s="7">
        <v>2</v>
      </c>
    </row>
    <row r="22" spans="1:4" x14ac:dyDescent="0.35">
      <c r="B22" t="s">
        <v>196</v>
      </c>
      <c r="C22" s="6">
        <v>100</v>
      </c>
      <c r="D22" s="7">
        <v>1</v>
      </c>
    </row>
    <row r="23" spans="1:4" x14ac:dyDescent="0.35">
      <c r="B23" t="s">
        <v>69</v>
      </c>
      <c r="C23" s="6">
        <v>83.333333333333329</v>
      </c>
      <c r="D23" s="7">
        <v>12</v>
      </c>
    </row>
    <row r="24" spans="1:4" x14ac:dyDescent="0.35">
      <c r="B24" t="s">
        <v>77</v>
      </c>
      <c r="C24" s="6">
        <v>75</v>
      </c>
      <c r="D24" s="7">
        <v>4</v>
      </c>
    </row>
    <row r="25" spans="1:4" x14ac:dyDescent="0.35">
      <c r="B25" t="s">
        <v>71</v>
      </c>
      <c r="C25" s="6">
        <v>66.666666666666671</v>
      </c>
      <c r="D25" s="7">
        <v>3</v>
      </c>
    </row>
    <row r="26" spans="1:4" x14ac:dyDescent="0.35">
      <c r="B26" t="s">
        <v>37</v>
      </c>
      <c r="C26" s="6">
        <v>30</v>
      </c>
      <c r="D26" s="7">
        <v>10</v>
      </c>
    </row>
    <row r="27" spans="1:4" x14ac:dyDescent="0.35">
      <c r="B27" t="s">
        <v>55</v>
      </c>
      <c r="C27" s="6">
        <v>16.666666666666668</v>
      </c>
      <c r="D27" s="7">
        <v>6</v>
      </c>
    </row>
    <row r="28" spans="1:4" x14ac:dyDescent="0.35">
      <c r="B28" t="s">
        <v>119</v>
      </c>
      <c r="C28" s="6">
        <v>0</v>
      </c>
      <c r="D28" s="7">
        <v>2</v>
      </c>
    </row>
    <row r="29" spans="1:4" x14ac:dyDescent="0.35">
      <c r="B29" t="s">
        <v>78</v>
      </c>
      <c r="C29" s="6">
        <v>0</v>
      </c>
      <c r="D29" s="7">
        <v>1</v>
      </c>
    </row>
    <row r="30" spans="1:4" x14ac:dyDescent="0.35">
      <c r="B30" t="s">
        <v>202</v>
      </c>
      <c r="C30" s="6">
        <v>0</v>
      </c>
      <c r="D30" s="7">
        <v>1</v>
      </c>
    </row>
    <row r="31" spans="1:4" x14ac:dyDescent="0.35">
      <c r="B31" t="s">
        <v>66</v>
      </c>
      <c r="C31" s="6">
        <v>-33.333333333333336</v>
      </c>
      <c r="D31" s="7">
        <v>3</v>
      </c>
    </row>
    <row r="32" spans="1:4" x14ac:dyDescent="0.35">
      <c r="B32" t="s">
        <v>110</v>
      </c>
      <c r="C32" s="6">
        <v>-66.666666666666671</v>
      </c>
      <c r="D32" s="7">
        <v>3</v>
      </c>
    </row>
    <row r="33" spans="1:4" x14ac:dyDescent="0.35">
      <c r="A33" t="s">
        <v>221</v>
      </c>
      <c r="C33" s="6">
        <v>39.583333333333336</v>
      </c>
      <c r="D33" s="7">
        <v>48</v>
      </c>
    </row>
    <row r="34" spans="1:4" x14ac:dyDescent="0.35">
      <c r="A34" t="s">
        <v>219</v>
      </c>
      <c r="B34" t="s">
        <v>78</v>
      </c>
      <c r="C34" s="6">
        <v>100</v>
      </c>
      <c r="D34" s="7">
        <v>1</v>
      </c>
    </row>
    <row r="35" spans="1:4" x14ac:dyDescent="0.35">
      <c r="B35" t="s">
        <v>119</v>
      </c>
      <c r="C35" s="6">
        <v>50</v>
      </c>
      <c r="D35" s="7">
        <v>4</v>
      </c>
    </row>
    <row r="36" spans="1:4" x14ac:dyDescent="0.35">
      <c r="B36" t="s">
        <v>110</v>
      </c>
      <c r="C36" s="6">
        <v>50</v>
      </c>
      <c r="D36" s="7">
        <v>2</v>
      </c>
    </row>
    <row r="37" spans="1:4" x14ac:dyDescent="0.35">
      <c r="B37" t="s">
        <v>77</v>
      </c>
      <c r="C37" s="6">
        <v>50</v>
      </c>
      <c r="D37" s="7">
        <v>4</v>
      </c>
    </row>
    <row r="38" spans="1:4" x14ac:dyDescent="0.35">
      <c r="B38" t="s">
        <v>55</v>
      </c>
      <c r="C38" s="6">
        <v>42.857142857142854</v>
      </c>
      <c r="D38" s="7">
        <v>7</v>
      </c>
    </row>
    <row r="39" spans="1:4" x14ac:dyDescent="0.35">
      <c r="B39" t="s">
        <v>37</v>
      </c>
      <c r="C39" s="6">
        <v>42.857142857142854</v>
      </c>
      <c r="D39" s="7">
        <v>14</v>
      </c>
    </row>
    <row r="40" spans="1:4" x14ac:dyDescent="0.35">
      <c r="B40" t="s">
        <v>69</v>
      </c>
      <c r="C40" s="6">
        <v>40</v>
      </c>
      <c r="D40" s="7">
        <v>15</v>
      </c>
    </row>
    <row r="41" spans="1:4" x14ac:dyDescent="0.35">
      <c r="B41" t="s">
        <v>71</v>
      </c>
      <c r="C41" s="6">
        <v>33.333333333333336</v>
      </c>
      <c r="D41" s="7">
        <v>3</v>
      </c>
    </row>
    <row r="42" spans="1:4" x14ac:dyDescent="0.35">
      <c r="B42" t="s">
        <v>120</v>
      </c>
      <c r="C42" s="6">
        <v>0</v>
      </c>
      <c r="D42" s="7">
        <v>1</v>
      </c>
    </row>
    <row r="43" spans="1:4" x14ac:dyDescent="0.35">
      <c r="B43" t="s">
        <v>66</v>
      </c>
      <c r="C43" s="6">
        <v>-33.333333333333336</v>
      </c>
      <c r="D43" s="7">
        <v>3</v>
      </c>
    </row>
    <row r="44" spans="1:4" x14ac:dyDescent="0.35">
      <c r="A44" t="s">
        <v>222</v>
      </c>
      <c r="C44" s="6">
        <v>38.888888888888886</v>
      </c>
      <c r="D44" s="7">
        <v>54</v>
      </c>
    </row>
    <row r="45" spans="1:4" x14ac:dyDescent="0.35">
      <c r="A45" t="s">
        <v>208</v>
      </c>
      <c r="C45" s="6">
        <v>39.215686274509807</v>
      </c>
      <c r="D45" s="7">
        <v>102</v>
      </c>
    </row>
    <row r="47" spans="1:4" x14ac:dyDescent="0.35">
      <c r="A47" s="8" t="s">
        <v>218</v>
      </c>
      <c r="B47" t="s">
        <v>211</v>
      </c>
      <c r="C47" t="s">
        <v>210</v>
      </c>
    </row>
    <row r="48" spans="1:4" x14ac:dyDescent="0.35">
      <c r="A48" t="s">
        <v>220</v>
      </c>
      <c r="B48" s="7">
        <v>5215.666666666667</v>
      </c>
      <c r="C48" s="6">
        <v>39.583333333333336</v>
      </c>
    </row>
    <row r="49" spans="1:3" x14ac:dyDescent="0.35">
      <c r="A49" t="s">
        <v>219</v>
      </c>
      <c r="B49" s="7">
        <v>8637.2407407407409</v>
      </c>
      <c r="C49" s="6">
        <v>38.888888888888886</v>
      </c>
    </row>
    <row r="50" spans="1:3" x14ac:dyDescent="0.35">
      <c r="A50" t="s">
        <v>208</v>
      </c>
      <c r="B50" s="7">
        <v>7027.088235294118</v>
      </c>
      <c r="C50" s="6">
        <v>39.215686274509807</v>
      </c>
    </row>
    <row r="53" spans="1:3" x14ac:dyDescent="0.35">
      <c r="A53" s="8" t="s">
        <v>8</v>
      </c>
      <c r="B53" t="s">
        <v>211</v>
      </c>
    </row>
    <row r="54" spans="1:3" x14ac:dyDescent="0.35">
      <c r="A54" t="s">
        <v>36</v>
      </c>
      <c r="B54" s="7">
        <v>20845.5</v>
      </c>
    </row>
    <row r="55" spans="1:3" x14ac:dyDescent="0.35">
      <c r="A55" t="s">
        <v>4</v>
      </c>
      <c r="B55" s="7">
        <v>10724.190476190477</v>
      </c>
    </row>
    <row r="56" spans="1:3" x14ac:dyDescent="0.35">
      <c r="A56" t="s">
        <v>48</v>
      </c>
      <c r="B56" s="7">
        <v>5647.9444444444443</v>
      </c>
    </row>
    <row r="57" spans="1:3" x14ac:dyDescent="0.35">
      <c r="A57" t="s">
        <v>95</v>
      </c>
      <c r="B57" s="7">
        <v>969.5454545454545</v>
      </c>
    </row>
    <row r="58" spans="1:3" x14ac:dyDescent="0.35">
      <c r="A58" t="s">
        <v>208</v>
      </c>
      <c r="B58" s="7">
        <v>7027.088235294118</v>
      </c>
    </row>
    <row r="61" spans="1:3" x14ac:dyDescent="0.35">
      <c r="A61" s="8" t="s">
        <v>9</v>
      </c>
      <c r="B61" t="s">
        <v>211</v>
      </c>
    </row>
    <row r="62" spans="1:3" x14ac:dyDescent="0.35">
      <c r="A62" t="s">
        <v>196</v>
      </c>
      <c r="B62" s="7">
        <v>126</v>
      </c>
    </row>
    <row r="63" spans="1:3" x14ac:dyDescent="0.35">
      <c r="A63" t="s">
        <v>202</v>
      </c>
      <c r="B63" s="7">
        <v>261</v>
      </c>
    </row>
    <row r="64" spans="1:3" x14ac:dyDescent="0.35">
      <c r="A64" t="s">
        <v>120</v>
      </c>
      <c r="B64" s="7">
        <v>2097</v>
      </c>
    </row>
    <row r="65" spans="1:2" x14ac:dyDescent="0.35">
      <c r="A65" t="s">
        <v>77</v>
      </c>
      <c r="B65" s="7">
        <v>3837.25</v>
      </c>
    </row>
    <row r="66" spans="1:2" x14ac:dyDescent="0.35">
      <c r="A66" t="s">
        <v>55</v>
      </c>
      <c r="B66" s="7">
        <v>3893.5384615384614</v>
      </c>
    </row>
    <row r="67" spans="1:2" x14ac:dyDescent="0.35">
      <c r="A67" t="s">
        <v>119</v>
      </c>
      <c r="B67" s="7">
        <v>4791.666666666667</v>
      </c>
    </row>
    <row r="68" spans="1:2" x14ac:dyDescent="0.35">
      <c r="A68" t="s">
        <v>110</v>
      </c>
      <c r="B68" s="7">
        <v>5968.6</v>
      </c>
    </row>
    <row r="69" spans="1:2" x14ac:dyDescent="0.35">
      <c r="A69" t="s">
        <v>37</v>
      </c>
      <c r="B69" s="7">
        <v>7206.416666666667</v>
      </c>
    </row>
    <row r="70" spans="1:2" x14ac:dyDescent="0.35">
      <c r="A70" t="s">
        <v>69</v>
      </c>
      <c r="B70" s="7">
        <v>7418.5555555555557</v>
      </c>
    </row>
    <row r="71" spans="1:2" x14ac:dyDescent="0.35">
      <c r="A71" t="s">
        <v>71</v>
      </c>
      <c r="B71" s="7">
        <v>7646.166666666667</v>
      </c>
    </row>
    <row r="72" spans="1:2" x14ac:dyDescent="0.35">
      <c r="A72" t="s">
        <v>78</v>
      </c>
      <c r="B72" s="7">
        <v>18843.5</v>
      </c>
    </row>
    <row r="73" spans="1:2" x14ac:dyDescent="0.35">
      <c r="A73" t="s">
        <v>66</v>
      </c>
      <c r="B73" s="7">
        <v>18893.166666666668</v>
      </c>
    </row>
    <row r="74" spans="1:2" x14ac:dyDescent="0.35">
      <c r="A74" t="s">
        <v>208</v>
      </c>
      <c r="B74" s="7">
        <v>7027.088235294118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9D416-AF2A-4BD0-ACDB-0AF5B0630039}">
  <dimension ref="L48"/>
  <sheetViews>
    <sheetView showGridLines="0" tabSelected="1" topLeftCell="A10" zoomScale="70" zoomScaleNormal="70" workbookViewId="0">
      <selection activeCell="T60" sqref="T60"/>
    </sheetView>
  </sheetViews>
  <sheetFormatPr defaultRowHeight="14.5" x14ac:dyDescent="0.35"/>
  <sheetData>
    <row r="48" spans="12:12" x14ac:dyDescent="0.35">
      <c r="L48" s="10"/>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Working Sheet</vt:lpstr>
      <vt:lpstr>Correlation</vt:lpstr>
      <vt:lpstr>Pivot Table</vt:lpstr>
      <vt:lpstr>Dashboard</vt:lpstr>
    </vt:vector>
  </TitlesOfParts>
  <Company>Meta Platforms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Aries Caballero</dc:creator>
  <cp:lastModifiedBy>John Aries Caballero</cp:lastModifiedBy>
  <dcterms:created xsi:type="dcterms:W3CDTF">2026-02-02T17:53:02Z</dcterms:created>
  <dcterms:modified xsi:type="dcterms:W3CDTF">2026-02-03T16:01:54Z</dcterms:modified>
</cp:coreProperties>
</file>